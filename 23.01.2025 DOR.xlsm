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105\COMMON\FO\Night Audit\DOR\2025\01 January\"/>
    </mc:Choice>
  </mc:AlternateContent>
  <xr:revisionPtr revIDLastSave="0" documentId="13_ncr:1_{47924D1E-6B75-4FC3-8D7B-C4ED821D8271}" xr6:coauthVersionLast="36" xr6:coauthVersionMax="36" xr10:uidLastSave="{00000000-0000-0000-0000-000000000000}"/>
  <bookViews>
    <workbookView xWindow="-120" yWindow="-120" windowWidth="29040" windowHeight="15840" tabRatio="605" activeTab="1" xr2:uid="{00000000-000D-0000-FFFF-FFFF00000000}"/>
  </bookViews>
  <sheets>
    <sheet name="Set-up" sheetId="5" r:id="rId1"/>
    <sheet name="Today" sheetId="1" r:id="rId2"/>
    <sheet name="IMPORT REPORT 14.008" sheetId="7" r:id="rId3"/>
    <sheet name="Tps sheet when a lot of VIP" sheetId="8" r:id="rId4"/>
  </sheets>
  <definedNames>
    <definedName name="_xlnm.Print_Area" localSheetId="1">Today!$A$1:$P$61</definedName>
    <definedName name="_xlnm.Print_Area" localSheetId="3">'Tps sheet when a lot of VIP'!$A$29:$C$52</definedName>
  </definedNames>
  <calcPr calcId="191029"/>
</workbook>
</file>

<file path=xl/calcChain.xml><?xml version="1.0" encoding="utf-8"?>
<calcChain xmlns="http://schemas.openxmlformats.org/spreadsheetml/2006/main">
  <c r="F56" i="1" l="1"/>
  <c r="F57" i="1"/>
  <c r="D56" i="1"/>
  <c r="D57" i="1"/>
  <c r="C56" i="1"/>
  <c r="C57" i="1"/>
  <c r="A56" i="1"/>
  <c r="A57" i="1"/>
  <c r="C7" i="5" l="1"/>
  <c r="C9" i="5" s="1"/>
  <c r="M37" i="1" l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H36" i="1"/>
  <c r="H35" i="1"/>
  <c r="H34" i="1"/>
  <c r="H33" i="1"/>
  <c r="H32" i="1"/>
  <c r="H31" i="1"/>
  <c r="H30" i="1"/>
  <c r="H29" i="1"/>
  <c r="H28" i="1"/>
  <c r="L31" i="1"/>
  <c r="L30" i="1"/>
  <c r="L29" i="1"/>
  <c r="L28" i="1"/>
  <c r="L27" i="1"/>
  <c r="H27" i="1"/>
  <c r="H26" i="1"/>
  <c r="H25" i="1"/>
  <c r="H24" i="1"/>
  <c r="H23" i="1"/>
  <c r="L37" i="1"/>
  <c r="L36" i="1"/>
  <c r="L35" i="1"/>
  <c r="L34" i="1"/>
  <c r="L33" i="1"/>
  <c r="L32" i="1"/>
  <c r="L26" i="1"/>
  <c r="L25" i="1"/>
  <c r="L24" i="1"/>
  <c r="L23" i="1"/>
  <c r="C11" i="1" l="1"/>
  <c r="F55" i="1" l="1"/>
  <c r="D55" i="1"/>
  <c r="C55" i="1"/>
  <c r="A55" i="1"/>
  <c r="F54" i="1"/>
  <c r="D54" i="1"/>
  <c r="C54" i="1"/>
  <c r="A54" i="1"/>
  <c r="C17" i="5" l="1"/>
  <c r="D17" i="5"/>
  <c r="E17" i="5"/>
  <c r="F17" i="5"/>
  <c r="F7" i="5" l="1"/>
  <c r="F9" i="5" s="1"/>
  <c r="E7" i="5" l="1"/>
  <c r="E9" i="5" s="1"/>
  <c r="D7" i="5"/>
  <c r="D9" i="5" s="1"/>
  <c r="M53" i="1" l="1"/>
  <c r="L53" i="1"/>
  <c r="H53" i="1"/>
  <c r="C19" i="5" l="1"/>
  <c r="H43" i="1" l="1"/>
  <c r="H58" i="1"/>
  <c r="H57" i="1"/>
  <c r="H56" i="1"/>
  <c r="H55" i="1"/>
  <c r="H54" i="1"/>
  <c r="H52" i="1"/>
  <c r="H51" i="1"/>
  <c r="H50" i="1"/>
  <c r="H49" i="1"/>
  <c r="H48" i="1"/>
  <c r="H47" i="1"/>
  <c r="H46" i="1"/>
  <c r="H45" i="1"/>
  <c r="H44" i="1"/>
  <c r="H42" i="1"/>
  <c r="M58" i="1"/>
  <c r="M57" i="1"/>
  <c r="M56" i="1"/>
  <c r="M55" i="1"/>
  <c r="M54" i="1"/>
  <c r="M52" i="1"/>
  <c r="M51" i="1"/>
  <c r="M50" i="1"/>
  <c r="M49" i="1"/>
  <c r="M48" i="1"/>
  <c r="M47" i="1"/>
  <c r="M46" i="1"/>
  <c r="M45" i="1"/>
  <c r="M44" i="1"/>
  <c r="M43" i="1"/>
  <c r="M42" i="1"/>
  <c r="M68" i="1"/>
  <c r="M67" i="1"/>
  <c r="M66" i="1"/>
  <c r="M65" i="1"/>
  <c r="M64" i="1"/>
  <c r="M63" i="1"/>
  <c r="M62" i="1"/>
  <c r="M61" i="1"/>
  <c r="M60" i="1"/>
  <c r="M59" i="1"/>
  <c r="H68" i="1"/>
  <c r="H67" i="1"/>
  <c r="H66" i="1"/>
  <c r="H65" i="1"/>
  <c r="H64" i="1"/>
  <c r="H63" i="1"/>
  <c r="H62" i="1"/>
  <c r="H61" i="1"/>
  <c r="H60" i="1"/>
  <c r="H59" i="1"/>
  <c r="L68" i="1"/>
  <c r="L67" i="1"/>
  <c r="L66" i="1"/>
  <c r="L65" i="1"/>
  <c r="L64" i="1"/>
  <c r="L63" i="1"/>
  <c r="L62" i="1"/>
  <c r="L61" i="1"/>
  <c r="L60" i="1"/>
  <c r="L59" i="1"/>
  <c r="L58" i="1"/>
  <c r="L50" i="1"/>
  <c r="L55" i="1"/>
  <c r="L57" i="1"/>
  <c r="L56" i="1"/>
  <c r="L54" i="1"/>
  <c r="L52" i="1"/>
  <c r="L51" i="1"/>
  <c r="L49" i="1"/>
  <c r="L48" i="1"/>
  <c r="L47" i="1"/>
  <c r="L46" i="1"/>
  <c r="L45" i="1"/>
  <c r="L44" i="1"/>
  <c r="L43" i="1"/>
  <c r="L42" i="1"/>
  <c r="L41" i="1"/>
  <c r="H41" i="1"/>
  <c r="M41" i="1"/>
  <c r="M40" i="1"/>
  <c r="M39" i="1"/>
  <c r="L40" i="1"/>
  <c r="H40" i="1"/>
  <c r="L39" i="1"/>
  <c r="H39" i="1"/>
  <c r="B150" i="5" l="1"/>
  <c r="B151" i="5" l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F19" i="5"/>
  <c r="E19" i="5"/>
  <c r="D19" i="5"/>
  <c r="C50" i="1" l="1"/>
  <c r="B43" i="1" l="1"/>
  <c r="C43" i="1"/>
  <c r="C46" i="1"/>
  <c r="D46" i="1"/>
  <c r="E46" i="1"/>
  <c r="C47" i="1"/>
  <c r="D47" i="1"/>
  <c r="E47" i="1"/>
  <c r="C49" i="1"/>
  <c r="D49" i="1"/>
  <c r="E49" i="1"/>
  <c r="D50" i="1"/>
  <c r="E50" i="1"/>
  <c r="D51" i="1"/>
  <c r="E51" i="1"/>
  <c r="C51" i="1"/>
  <c r="C67" i="5"/>
  <c r="D11" i="1" l="1"/>
  <c r="C31" i="1" l="1"/>
  <c r="D31" i="1"/>
  <c r="E31" i="1"/>
  <c r="F31" i="1"/>
  <c r="P13" i="1" l="1"/>
  <c r="O13" i="1"/>
  <c r="N13" i="1"/>
  <c r="M13" i="1"/>
  <c r="L13" i="1"/>
  <c r="K13" i="1"/>
  <c r="J13" i="1"/>
  <c r="I13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H13" i="1" l="1"/>
  <c r="G13" i="1"/>
  <c r="F13" i="1"/>
  <c r="E13" i="1"/>
  <c r="D13" i="1"/>
  <c r="P11" i="1"/>
  <c r="O11" i="1"/>
  <c r="N11" i="1"/>
  <c r="M11" i="1"/>
  <c r="L11" i="1"/>
  <c r="K11" i="1"/>
  <c r="J11" i="1"/>
  <c r="I11" i="1"/>
  <c r="H11" i="1"/>
  <c r="G11" i="1"/>
  <c r="F11" i="1"/>
  <c r="E11" i="1"/>
  <c r="M22" i="1" l="1"/>
  <c r="M21" i="1"/>
  <c r="L22" i="1"/>
  <c r="L21" i="1"/>
  <c r="H22" i="1"/>
  <c r="H21" i="1"/>
  <c r="M38" i="1" l="1"/>
  <c r="L38" i="1"/>
  <c r="H38" i="1"/>
  <c r="L20" i="1"/>
  <c r="M20" i="1"/>
  <c r="H20" i="1"/>
  <c r="C21" i="1" l="1"/>
  <c r="D21" i="1"/>
  <c r="F21" i="1" l="1"/>
  <c r="E21" i="1"/>
  <c r="C20" i="1" l="1"/>
  <c r="C23" i="1" s="1"/>
  <c r="C22" i="1" l="1"/>
  <c r="F37" i="1"/>
  <c r="A33" i="5" l="1"/>
  <c r="E37" i="1" l="1"/>
  <c r="D37" i="1"/>
  <c r="C37" i="1"/>
  <c r="P8" i="1" l="1"/>
  <c r="O8" i="1"/>
  <c r="N8" i="1"/>
  <c r="M8" i="1"/>
  <c r="L8" i="1"/>
  <c r="K8" i="1"/>
  <c r="J8" i="1"/>
  <c r="I8" i="1"/>
  <c r="H8" i="1"/>
  <c r="G8" i="1"/>
  <c r="F8" i="1"/>
  <c r="E8" i="1"/>
  <c r="D8" i="1"/>
  <c r="D12" i="1"/>
  <c r="E67" i="5"/>
  <c r="D67" i="5"/>
  <c r="C13" i="1"/>
  <c r="C14" i="1" s="1"/>
  <c r="C12" i="1"/>
  <c r="H37" i="1"/>
  <c r="E33" i="1"/>
  <c r="D26" i="1"/>
  <c r="C39" i="1"/>
  <c r="M19" i="1"/>
  <c r="L19" i="1"/>
  <c r="H19" i="1"/>
  <c r="F19" i="1"/>
  <c r="E19" i="1"/>
  <c r="E45" i="1" s="1"/>
  <c r="D19" i="1"/>
  <c r="D45" i="1" s="1"/>
  <c r="C19" i="1"/>
  <c r="C45" i="1" s="1"/>
  <c r="N12" i="1"/>
  <c r="P12" i="1"/>
  <c r="O12" i="1"/>
  <c r="M12" i="1"/>
  <c r="K12" i="1"/>
  <c r="J12" i="1"/>
  <c r="I12" i="1"/>
  <c r="G12" i="1"/>
  <c r="E12" i="1"/>
  <c r="E6" i="1"/>
  <c r="B6" i="1"/>
  <c r="I10" i="1" s="1"/>
  <c r="F20" i="1"/>
  <c r="E20" i="1"/>
  <c r="D20" i="1"/>
  <c r="D23" i="1" l="1"/>
  <c r="D22" i="1"/>
  <c r="F23" i="1"/>
  <c r="F22" i="1"/>
  <c r="F27" i="1" s="1"/>
  <c r="E22" i="1"/>
  <c r="E23" i="1"/>
  <c r="B162" i="5"/>
  <c r="F33" i="1"/>
  <c r="F26" i="1"/>
  <c r="H14" i="1"/>
  <c r="N14" i="1"/>
  <c r="J10" i="1"/>
  <c r="P10" i="1"/>
  <c r="F10" i="1"/>
  <c r="F14" i="1"/>
  <c r="I14" i="1"/>
  <c r="M14" i="1"/>
  <c r="P14" i="1"/>
  <c r="D14" i="1"/>
  <c r="J14" i="1"/>
  <c r="L14" i="1"/>
  <c r="C33" i="1"/>
  <c r="K14" i="1"/>
  <c r="L12" i="1"/>
  <c r="E14" i="1"/>
  <c r="E39" i="1"/>
  <c r="O10" i="1"/>
  <c r="H10" i="1"/>
  <c r="G10" i="1"/>
  <c r="C10" i="1"/>
  <c r="D39" i="1"/>
  <c r="G14" i="1"/>
  <c r="E10" i="1"/>
  <c r="L10" i="1"/>
  <c r="K10" i="1"/>
  <c r="N10" i="1"/>
  <c r="C26" i="1"/>
  <c r="E26" i="1"/>
  <c r="H12" i="1"/>
  <c r="F12" i="1"/>
  <c r="O14" i="1"/>
  <c r="D33" i="1"/>
  <c r="F39" i="1"/>
  <c r="C9" i="1"/>
  <c r="D9" i="1" s="1"/>
  <c r="E9" i="1" s="1"/>
  <c r="F9" i="1" s="1"/>
  <c r="G9" i="1" s="1"/>
  <c r="H9" i="1" s="1"/>
  <c r="I9" i="1" s="1"/>
  <c r="J9" i="1" s="1"/>
  <c r="K9" i="1" s="1"/>
  <c r="L9" i="1" s="1"/>
  <c r="M9" i="1" s="1"/>
  <c r="N9" i="1" s="1"/>
  <c r="O9" i="1" s="1"/>
  <c r="P9" i="1" s="1"/>
  <c r="D10" i="1"/>
  <c r="M10" i="1"/>
  <c r="D32" i="1"/>
  <c r="C25" i="1"/>
  <c r="E32" i="1"/>
  <c r="F38" i="1"/>
  <c r="F25" i="1"/>
  <c r="F32" i="1"/>
  <c r="E25" i="1" l="1"/>
  <c r="E27" i="1"/>
  <c r="D38" i="1"/>
  <c r="D25" i="1"/>
  <c r="D27" i="1"/>
  <c r="C38" i="1"/>
  <c r="C32" i="1"/>
  <c r="C27" i="1"/>
  <c r="E38" i="1"/>
</calcChain>
</file>

<file path=xl/sharedStrings.xml><?xml version="1.0" encoding="utf-8"?>
<sst xmlns="http://schemas.openxmlformats.org/spreadsheetml/2006/main" count="369" uniqueCount="275">
  <si>
    <t>STEP-BY-STEP INSTRUCTIONS</t>
  </si>
  <si>
    <t>Note: only yellow fields need to be completed</t>
  </si>
  <si>
    <r>
      <rPr>
        <b/>
        <u/>
        <sz val="11"/>
        <color theme="1"/>
        <rFont val="Calibri"/>
        <family val="2"/>
        <scheme val="minor"/>
      </rPr>
      <t xml:space="preserve">STEP 1: </t>
    </r>
    <r>
      <rPr>
        <sz val="11"/>
        <color theme="1"/>
        <rFont val="Calibri"/>
        <family val="2"/>
        <scheme val="minor"/>
      </rPr>
      <t xml:space="preserve">Change Date in Cell D2 
</t>
    </r>
    <r>
      <rPr>
        <i/>
        <sz val="11"/>
        <color theme="1"/>
        <rFont val="Calibri"/>
        <family val="2"/>
        <scheme val="minor"/>
      </rPr>
      <t>On the first day of a new month, also change days in month (C4:F4:) and month heading(C5:F5)</t>
    </r>
  </si>
  <si>
    <t>Date:</t>
  </si>
  <si>
    <t>Days in month</t>
  </si>
  <si>
    <t>Today</t>
  </si>
  <si>
    <t>Total Occ.</t>
  </si>
  <si>
    <t>Total Occ. - "Total comp+HU"</t>
  </si>
  <si>
    <t>Room Revenue</t>
  </si>
  <si>
    <t>ADR</t>
  </si>
  <si>
    <t>OOO Rooms</t>
  </si>
  <si>
    <t>COMP rooms</t>
  </si>
  <si>
    <t>House Use Rooms</t>
  </si>
  <si>
    <t>Total comp+HU ROOMS</t>
  </si>
  <si>
    <t>To be copied from "Today"</t>
  </si>
  <si>
    <t>Yesterday</t>
  </si>
  <si>
    <r>
      <rPr>
        <b/>
        <u/>
        <sz val="11"/>
        <color theme="1"/>
        <rFont val="Calibri"/>
        <family val="2"/>
        <scheme val="minor"/>
      </rPr>
      <t xml:space="preserve">STEP 5: </t>
    </r>
    <r>
      <rPr>
        <sz val="11"/>
        <color theme="1"/>
        <rFont val="Calibri"/>
        <family val="2"/>
        <scheme val="minor"/>
      </rPr>
      <t>Pull report 26.011 MGR FLash(no changes to set-up, just click "Preview")</t>
    </r>
  </si>
  <si>
    <t>Manager Flash</t>
  </si>
  <si>
    <t>Rooms Occupied</t>
  </si>
  <si>
    <t>Out of Order Rooms</t>
  </si>
  <si>
    <t xml:space="preserve">                   </t>
  </si>
  <si>
    <t>STR Global</t>
  </si>
  <si>
    <t>RGI MTD</t>
  </si>
  <si>
    <t>RGI %-Change</t>
  </si>
  <si>
    <t>Ranking</t>
  </si>
  <si>
    <t>Budget</t>
  </si>
  <si>
    <t>Forecast</t>
  </si>
  <si>
    <t>OTB</t>
  </si>
  <si>
    <t>Pick-up versus 
last week</t>
  </si>
  <si>
    <t>VIP Arrivals</t>
  </si>
  <si>
    <t>Room N°</t>
  </si>
  <si>
    <t>Groups / Events</t>
  </si>
  <si>
    <t>Participants</t>
  </si>
  <si>
    <t>Meeting Rooms</t>
  </si>
  <si>
    <t>Contact Person</t>
  </si>
  <si>
    <t>Duty</t>
  </si>
  <si>
    <t>Daily Operation Report - Steigenberger Wiltcher's</t>
  </si>
  <si>
    <t>Rooms</t>
  </si>
  <si>
    <t>Report Date</t>
  </si>
  <si>
    <t>Best Available Rate</t>
  </si>
  <si>
    <t>Day</t>
  </si>
  <si>
    <t>Date</t>
  </si>
  <si>
    <t>Room occupied</t>
  </si>
  <si>
    <t>Occ %</t>
  </si>
  <si>
    <t>Revenue</t>
  </si>
  <si>
    <t xml:space="preserve"> </t>
  </si>
  <si>
    <t>Arrivals</t>
  </si>
  <si>
    <t>Departures</t>
  </si>
  <si>
    <t>Adults in House</t>
  </si>
  <si>
    <t>Actual</t>
  </si>
  <si>
    <t>Rooms Sold</t>
  </si>
  <si>
    <t>Rooms Revenue</t>
  </si>
  <si>
    <t>Occ%</t>
  </si>
  <si>
    <t>Pick up</t>
  </si>
  <si>
    <t>Room Nights</t>
  </si>
  <si>
    <t>Rooms to go</t>
  </si>
  <si>
    <t>Revenue to go</t>
  </si>
  <si>
    <t>BQT Forecast
Weekly Update</t>
  </si>
  <si>
    <t>Pick-up vs last week</t>
  </si>
  <si>
    <t>Responsable</t>
  </si>
  <si>
    <t>Reason &amp; Number of Stays</t>
  </si>
  <si>
    <t xml:space="preserve">Take the AX price (excl tax) </t>
  </si>
  <si>
    <t>H-reward</t>
  </si>
  <si>
    <t>MTD</t>
  </si>
  <si>
    <t>VIP Departure</t>
  </si>
  <si>
    <t>VIP Inhouse</t>
  </si>
  <si>
    <t>DO NOT USE</t>
  </si>
  <si>
    <t>VIP Level</t>
  </si>
  <si>
    <t>OTB last week</t>
  </si>
  <si>
    <r>
      <rPr>
        <b/>
        <u/>
        <sz val="11"/>
        <color theme="1"/>
        <rFont val="Calibri"/>
        <family val="2"/>
        <scheme val="minor"/>
      </rPr>
      <t xml:space="preserve">STEP 2: </t>
    </r>
    <r>
      <rPr>
        <sz val="11"/>
        <color theme="1"/>
        <rFont val="Calibri"/>
        <family val="2"/>
        <scheme val="minor"/>
      </rPr>
      <t>Copy "Today" figures in yellow color into "Yesterday" in yellow color</t>
    </r>
  </si>
  <si>
    <r>
      <rPr>
        <b/>
        <u/>
        <sz val="11"/>
        <color theme="1"/>
        <rFont val="Calibri"/>
        <family val="2"/>
        <scheme val="minor"/>
      </rPr>
      <t>STEP 3:</t>
    </r>
    <r>
      <rPr>
        <sz val="11"/>
        <color theme="1"/>
        <rFont val="Calibri"/>
        <family val="2"/>
        <scheme val="minor"/>
      </rPr>
      <t xml:space="preserve"> Pull report </t>
    </r>
    <r>
      <rPr>
        <b/>
        <sz val="11"/>
        <color theme="1"/>
        <rFont val="Calibri"/>
        <family val="2"/>
        <scheme val="minor"/>
      </rPr>
      <t>14.008 SFA History and Forecast</t>
    </r>
    <r>
      <rPr>
        <sz val="11"/>
        <color theme="1"/>
        <rFont val="Calibri"/>
        <family val="2"/>
        <scheme val="minor"/>
      </rPr>
      <t xml:space="preserve"> for each of the 4 months (current + 3) - see below</t>
    </r>
  </si>
  <si>
    <r>
      <rPr>
        <b/>
        <u/>
        <sz val="11"/>
        <color theme="1"/>
        <rFont val="Calibri"/>
        <family val="2"/>
        <scheme val="minor"/>
      </rPr>
      <t>STEP 4:</t>
    </r>
    <r>
      <rPr>
        <sz val="11"/>
        <color theme="1"/>
        <rFont val="Calibri"/>
        <family val="2"/>
        <scheme val="minor"/>
      </rPr>
      <t xml:space="preserve"> Take the Total figures (last line) from the report 14.008 for each month:
- "Total Occ." --&gt; enter in the corresponding month in line 6
- "Room Revenue" --&gt; enter in the corresponding month in line 8
- "OOO Rooms" --&gt; enter in the corresponding month in line 10
-"Comp Rooms" --&gt; enter in the corresponding month in line 11
-"House Use Rooms" --&gt; enter in the corresponding month in line 12
</t>
    </r>
  </si>
  <si>
    <r>
      <rPr>
        <b/>
        <u/>
        <sz val="11"/>
        <color theme="1"/>
        <rFont val="Calibri"/>
        <family val="2"/>
        <scheme val="minor"/>
      </rPr>
      <t>STEP 6:</t>
    </r>
    <r>
      <rPr>
        <sz val="11"/>
        <color theme="1"/>
        <rFont val="Calibri"/>
        <family val="2"/>
        <scheme val="minor"/>
      </rPr>
      <t xml:space="preserve"> Take the figures for "DAY"
- Rooms Occupied --&gt; enter in C28
- Room Revenue --&gt; enter in C29
- Out of Order Rooms --&gt; C30</t>
    </r>
  </si>
  <si>
    <r>
      <rPr>
        <b/>
        <u/>
        <sz val="11"/>
        <color theme="1"/>
        <rFont val="Calibri"/>
        <family val="2"/>
        <scheme val="minor"/>
      </rPr>
      <t>STEP 7:</t>
    </r>
    <r>
      <rPr>
        <sz val="11"/>
        <color theme="1"/>
        <rFont val="Calibri"/>
        <family val="2"/>
        <scheme val="minor"/>
      </rPr>
      <t xml:space="preserve"> Pull report </t>
    </r>
    <r>
      <rPr>
        <b/>
        <sz val="11"/>
        <color theme="1"/>
        <rFont val="Calibri"/>
        <family val="2"/>
        <scheme val="minor"/>
      </rPr>
      <t>14.008 SFA History and Forecast</t>
    </r>
    <r>
      <rPr>
        <sz val="11"/>
        <color theme="1"/>
        <rFont val="Calibri"/>
        <family val="2"/>
        <scheme val="minor"/>
      </rPr>
      <t xml:space="preserve"> (The one in yellow)
- Click on "File Format : "Delimited : </t>
    </r>
    <r>
      <rPr>
        <sz val="1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 xml:space="preserve">" / Delimiter "Tab"
- From Date: </t>
    </r>
    <r>
      <rPr>
        <b/>
        <sz val="11"/>
        <color rgb="FFFF0000"/>
        <rFont val="Calibri"/>
        <family val="2"/>
        <scheme val="minor"/>
      </rPr>
      <t xml:space="preserve">Today Business date </t>
    </r>
    <r>
      <rPr>
        <sz val="11"/>
        <color theme="1"/>
        <rFont val="Calibri"/>
        <family val="2"/>
        <scheme val="minor"/>
      </rPr>
      <t xml:space="preserve">
- To Date: Today + 12 days
- Click on "File" </t>
    </r>
  </si>
  <si>
    <t xml:space="preserve"> - Go to Manager Night Bible page 22 and follow the Steps</t>
  </si>
  <si>
    <r>
      <rPr>
        <b/>
        <u/>
        <sz val="11"/>
        <rFont val="Calibri"/>
        <family val="2"/>
        <scheme val="minor"/>
      </rPr>
      <t>STEP 10:</t>
    </r>
    <r>
      <rPr>
        <b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Complete the VIPs and Groups</t>
    </r>
  </si>
  <si>
    <r>
      <t xml:space="preserve">STEP 8:
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- Go to Manager Night Bible page 24 and follow the Steps in order to complete STR Data</t>
    </r>
  </si>
  <si>
    <t>STEP 11:</t>
  </si>
  <si>
    <r>
      <t xml:space="preserve">STEP 13: 
</t>
    </r>
    <r>
      <rPr>
        <sz val="11"/>
        <color theme="1"/>
        <rFont val="Calibri"/>
        <family val="2"/>
        <scheme val="minor"/>
      </rPr>
      <t>Every Sunday - Look up the Duty Managers of the day (COMMON-DUTY-Duty Planning 2023)</t>
    </r>
  </si>
  <si>
    <r>
      <t xml:space="preserve">STEP 14: 
</t>
    </r>
    <r>
      <rPr>
        <sz val="11"/>
        <color theme="1"/>
        <rFont val="Calibri"/>
        <family val="2"/>
        <scheme val="minor"/>
      </rPr>
      <t xml:space="preserve">Send to the distribution list! "dor" Attach also the DMs </t>
    </r>
  </si>
  <si>
    <r>
      <t>STEP 9:</t>
    </r>
    <r>
      <rPr>
        <sz val="11"/>
        <color theme="1"/>
        <rFont val="Calibri"/>
        <family val="2"/>
        <scheme val="minor"/>
      </rPr>
      <t xml:space="preserve">
This part will be updated from accounting department</t>
    </r>
  </si>
  <si>
    <t>Use report 15.023b / Department : GM</t>
  </si>
  <si>
    <r>
      <t xml:space="preserve">STEP 12: 
</t>
    </r>
    <r>
      <rPr>
        <sz val="11"/>
        <color theme="1"/>
        <rFont val="Calibri"/>
        <family val="2"/>
        <scheme val="minor"/>
      </rPr>
      <t>Press on F5 in Opera and do a rate query day by day for the next 12 days.</t>
    </r>
  </si>
  <si>
    <r>
      <rPr>
        <b/>
        <sz val="11"/>
        <color theme="1"/>
        <rFont val="Calibri"/>
        <family val="2"/>
        <scheme val="minor"/>
      </rPr>
      <t xml:space="preserve">VIP in house : </t>
    </r>
    <r>
      <rPr>
        <sz val="11"/>
        <color theme="1"/>
        <rFont val="Calibri"/>
        <family val="2"/>
        <scheme val="minor"/>
      </rPr>
      <t xml:space="preserve">"Copy + Paste" the Vip Arrivals of yesterday and verify that </t>
    </r>
  </si>
  <si>
    <r>
      <t xml:space="preserve">Include only "Reserved" and click "Preview" </t>
    </r>
    <r>
      <rPr>
        <sz val="11"/>
        <color theme="1"/>
        <rFont val="Calibri"/>
        <family val="2"/>
      </rPr>
      <t>→</t>
    </r>
    <r>
      <rPr>
        <sz val="12.3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VIP Arrivals</t>
    </r>
  </si>
  <si>
    <t>the room number is the same if not update it</t>
  </si>
  <si>
    <r>
      <t xml:space="preserve">VIP departures: </t>
    </r>
    <r>
      <rPr>
        <sz val="11"/>
        <color theme="1"/>
        <rFont val="Calibri"/>
        <family val="2"/>
        <scheme val="minor"/>
      </rPr>
      <t>Check the departure day of Vip Arrivals of yesterday + Vip In House</t>
    </r>
  </si>
  <si>
    <t>-</t>
  </si>
  <si>
    <t>VIP Departures</t>
  </si>
  <si>
    <t>select only DEF</t>
  </si>
  <si>
    <t xml:space="preserve">Use report "Event List Detailed" /"Date Range" same business date/"Event status" </t>
  </si>
  <si>
    <t>January</t>
  </si>
  <si>
    <t>GPAGEID</t>
  </si>
  <si>
    <t>REC_TYPE</t>
  </si>
  <si>
    <t>REC_TYPE_DESC</t>
  </si>
  <si>
    <t>SUMNO_ROOMSPERREC_TYPE</t>
  </si>
  <si>
    <t>SUMCALC_OCCROOMSPERREC_TYPE</t>
  </si>
  <si>
    <t>SUMCALC_INVROOMSPERREC_TYPE</t>
  </si>
  <si>
    <t>SUMARRIVAL_ROOMSPERREC_TYPE</t>
  </si>
  <si>
    <t>SUMCOMPLIMENTARY_ROOMSPERREC_T</t>
  </si>
  <si>
    <t>SUMHOUSE_USE_ROOMSPERREC_TYPE</t>
  </si>
  <si>
    <t>SUMDAY_USE_ROOMSPERREC_TYPE</t>
  </si>
  <si>
    <t>SUMNO_SHOW_ROOMSPERREC_TYPE</t>
  </si>
  <si>
    <t>SUMIND_DEDUCT_ROOMSPERREC_TYPE</t>
  </si>
  <si>
    <t>SUMIND_NON_DEDUCT_ROOMSPERREC_</t>
  </si>
  <si>
    <t>SUMGRP_DEDUCT_ROOMSPERREC_TYPE</t>
  </si>
  <si>
    <t>SUMGRP_NON_DEDUCT_ROOMSPERREC_</t>
  </si>
  <si>
    <t>SUMDEPARTURE_ROOMSPERREC_TYPE</t>
  </si>
  <si>
    <t>SUMOOO_ROOMSPERREC_TYPE</t>
  </si>
  <si>
    <t>SUMNO_PERSONSPERREC_TYPE</t>
  </si>
  <si>
    <t>SUMINVENTORY_ROOMSPERREC_TYPE</t>
  </si>
  <si>
    <t>SUMREVENUEPERREC_TYPE</t>
  </si>
  <si>
    <t>SUMOWNER_ROOMSPERREC_TYPE</t>
  </si>
  <si>
    <t>SUMFF_ROOMSPERREC_TYPE</t>
  </si>
  <si>
    <t>CF_AVERAGE_ROOM_RATE_REC_TYPE</t>
  </si>
  <si>
    <t>CF_OCCUPANCY_REC_TYPE</t>
  </si>
  <si>
    <t>REVENUE</t>
  </si>
  <si>
    <t>NO_ROOMS</t>
  </si>
  <si>
    <t>IND_DEDUCT_ROOMS</t>
  </si>
  <si>
    <t>IND_NON_DEDUCT_ROOMS</t>
  </si>
  <si>
    <t>GRP_DEDUCT_ROOMS</t>
  </si>
  <si>
    <t>GRP_NON_DEDUCT_ROOMS</t>
  </si>
  <si>
    <t>NO_PERSONS</t>
  </si>
  <si>
    <t>ARRIVAL_ROOMS</t>
  </si>
  <si>
    <t>DEPARTURE_ROOMS</t>
  </si>
  <si>
    <t>COMPLIMENTARY_ROOMS</t>
  </si>
  <si>
    <t>HOUSE_USE_ROOMS</t>
  </si>
  <si>
    <t>DAY_USE_ROOMS</t>
  </si>
  <si>
    <t>NO_SHOW_ROOMS</t>
  </si>
  <si>
    <t>INVENTORY_ROOMS</t>
  </si>
  <si>
    <t>CONSIDERED_DATE</t>
  </si>
  <si>
    <t>CHAR_CONSIDERED_DATE</t>
  </si>
  <si>
    <t>IND_DEDUCT_REVENUE</t>
  </si>
  <si>
    <t>IND_NON_DEDUCT_REVENUE</t>
  </si>
  <si>
    <t>GRP_NON_DEDUCT_REVENUE</t>
  </si>
  <si>
    <t>GRP_DEDUCT_REVENUE</t>
  </si>
  <si>
    <t>OWNER_ROOMS</t>
  </si>
  <si>
    <t>FF_ROOMS</t>
  </si>
  <si>
    <t>CF_OOO_ROOMS</t>
  </si>
  <si>
    <t>CF_CALC_OCC_ROOMS</t>
  </si>
  <si>
    <t>CF_CALC_INV_ROOMS</t>
  </si>
  <si>
    <t>CF_AVERAGE_ROOM_RATE</t>
  </si>
  <si>
    <t>CF_OCCUPANCY</t>
  </si>
  <si>
    <t>CF_IND_DED_REV</t>
  </si>
  <si>
    <t>CF_IND_NON_DED_REV</t>
  </si>
  <si>
    <t>CF_BLK_DED_REV</t>
  </si>
  <si>
    <t>CF_BLK_NON_DED_REV</t>
  </si>
  <si>
    <t>February</t>
  </si>
  <si>
    <t>March</t>
  </si>
  <si>
    <t>VIP In House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</si>
  <si>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</si>
  <si>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</si>
  <si>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</si>
  <si>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</si>
  <si>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</si>
  <si>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</si>
  <si>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</si>
  <si>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</si>
  <si>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</si>
  <si>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</si>
  <si>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</si>
  <si>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</si>
  <si>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</si>
  <si>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</si>
  <si>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</si>
  <si>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</si>
  <si>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</si>
  <si>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</si>
  <si>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</si>
  <si>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</si>
  <si>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</si>
  <si>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April</t>
  </si>
  <si>
    <t>B_FORE</t>
  </si>
  <si>
    <t>SUMNO_ROOMSPERREPORT</t>
  </si>
  <si>
    <t>SUMARRIVAL_ROOMSPERREPORT</t>
  </si>
  <si>
    <t>SUMCOMPLIMENTARY_ROOMSPERREPOR</t>
  </si>
  <si>
    <t>SUMHOUSE_USE_ROOMSPERREPORT</t>
  </si>
  <si>
    <t>SUMIND_DEDUCT_ROOMSPERREPORT</t>
  </si>
  <si>
    <t>SUMIND_NON_DEDUCT_ROOMSPERREPO</t>
  </si>
  <si>
    <t>SUMGRP_DEDUCT_ROOMSPERREPORT</t>
  </si>
  <si>
    <t>SUMGRP_NON_DEDUCT_ROOMSPERREPO</t>
  </si>
  <si>
    <t>SUMDEPARTURE_ROOMSPERREPORT</t>
  </si>
  <si>
    <t>SUMOOO_ROOMSPERREPORT</t>
  </si>
  <si>
    <t>SUMNO_PERSONSPERREPORT</t>
  </si>
  <si>
    <t>SUMREVENUEPERREPORT</t>
  </si>
  <si>
    <t>SUMINVENTORY_ROOMSPERREPORT</t>
  </si>
  <si>
    <t>CF_AVERAGE_ROOM_RATE_REPORT</t>
  </si>
  <si>
    <t>CF_OCCUPANCY_REPORT</t>
  </si>
  <si>
    <t>SUMOWNER_ROOMSPERREPORT</t>
  </si>
  <si>
    <t>SUMFF_ROOMSPERREPORT</t>
  </si>
  <si>
    <t>SUMCALC_OCCROOMSPERREPORT</t>
  </si>
  <si>
    <t>SUMCALC_INVROOMSPERREPORT</t>
  </si>
  <si>
    <t>SUMDAY_USE_ROOMSPERREPORT</t>
  </si>
  <si>
    <t>SUMNO_SHOW_ROOMSPERREPORT</t>
  </si>
  <si>
    <t>Febuary</t>
  </si>
  <si>
    <t>long stayer</t>
  </si>
  <si>
    <t>23.01.25 Thu</t>
  </si>
  <si>
    <t>24.01.25 Fri</t>
  </si>
  <si>
    <t>25.01.25 Sat</t>
  </si>
  <si>
    <t>26.01.25 Sun</t>
  </si>
  <si>
    <t>27.01.25 Mon</t>
  </si>
  <si>
    <t>28.01.25 Tue</t>
  </si>
  <si>
    <t>29.01.25 Wed</t>
  </si>
  <si>
    <t>30.01.25 Thu</t>
  </si>
  <si>
    <t>31.01.25 Fri</t>
  </si>
  <si>
    <t>01.02.25 Sat</t>
  </si>
  <si>
    <t>02.02.25 Sun</t>
  </si>
  <si>
    <t>Desir,Rony</t>
  </si>
  <si>
    <t>Executive Director · Goldman Sachs</t>
  </si>
  <si>
    <t>Burki,Daphé,Mme</t>
  </si>
  <si>
    <t>French television presenter</t>
  </si>
  <si>
    <t>Vrouchos,Nikolaos</t>
  </si>
  <si>
    <t>Guest of the day - Booking</t>
  </si>
  <si>
    <t>03.02.25 Mon</t>
  </si>
  <si>
    <t>Mankwaka,Alicia</t>
  </si>
  <si>
    <t>Guest of the day - booking</t>
  </si>
  <si>
    <t>Goulart,Daiane</t>
  </si>
  <si>
    <t>Half board Menu - 3 course dinner</t>
  </si>
  <si>
    <t>01-FEB-25</t>
  </si>
  <si>
    <t>02-FEB-25</t>
  </si>
  <si>
    <t>03-FEB-25</t>
  </si>
  <si>
    <t>04-FEB-25</t>
  </si>
  <si>
    <t>04.02.25 Tue</t>
  </si>
  <si>
    <t>Wistrom,Jonas</t>
  </si>
  <si>
    <t>Dassault,Laurent</t>
  </si>
  <si>
    <t>CAMPHUIS,Armand,M.</t>
  </si>
  <si>
    <t>Engineer,Milan</t>
  </si>
  <si>
    <t>Brandt Ofverholm,Erik</t>
  </si>
  <si>
    <t>Simonsen,Morten,MR</t>
  </si>
  <si>
    <t>Querel,Gregory</t>
  </si>
  <si>
    <t>Mukendi Kalambayi,Edouard</t>
  </si>
  <si>
    <t>Gorteman,Denis,M.</t>
  </si>
  <si>
    <t>Schuster,Axel</t>
  </si>
  <si>
    <t>Malanda Miyila,Francois,M.</t>
  </si>
  <si>
    <t>Codognotto,Clara</t>
  </si>
  <si>
    <t>Calarco,Tommaso,Herr</t>
  </si>
  <si>
    <t>Nadi,Lamia</t>
  </si>
  <si>
    <t>Bardera Baldrich,Jose Maria,Mr</t>
  </si>
  <si>
    <t>Bakker,Miel Alexander,Mr Prof.</t>
  </si>
  <si>
    <t>CEO of Ratos</t>
  </si>
  <si>
    <t>French businessman</t>
  </si>
  <si>
    <t>Regular guest</t>
  </si>
  <si>
    <t>Critique d’art I Curateur · CAMPHUIS.ART + long stayer</t>
  </si>
  <si>
    <t>CEO d'Ieteren Auto + regular guest</t>
  </si>
  <si>
    <t>Half board menu - 3 course dinner at Loui Bar</t>
  </si>
  <si>
    <t>VIP - as per Jeanne MKT</t>
  </si>
  <si>
    <t>Director, Institute for Quantum Control PGI-8</t>
  </si>
  <si>
    <t>FHR</t>
  </si>
  <si>
    <t>Managing Director and Head of Distribution for
Northern Europe</t>
  </si>
  <si>
    <t>Baruti,Mwayuma,Mme</t>
  </si>
  <si>
    <t>Heineking,Lutz,Mr</t>
  </si>
  <si>
    <t>Abrantes Dos Santos,Lucia,Mrs</t>
  </si>
  <si>
    <t>DE BRYAS,Salome,Mme</t>
  </si>
  <si>
    <t>BAILLY,HELENE,Mme</t>
  </si>
  <si>
    <t>Film producer</t>
  </si>
  <si>
    <t>regular guest - VIP</t>
  </si>
  <si>
    <t>Director of the Macau Economic and Trade
Delegation in Lisbon</t>
  </si>
  <si>
    <t>Director of Sales - Impressionist and Modern Art ·
HELENE BAILLY + long stayer</t>
  </si>
  <si>
    <t>Fondatrice de la galerie d'art Helene Bailly + Long
stayer</t>
  </si>
  <si>
    <t>25.01.25</t>
  </si>
  <si>
    <t>30.01.25</t>
  </si>
  <si>
    <t>02.02.25</t>
  </si>
  <si>
    <t>26.01.25</t>
  </si>
  <si>
    <t>Flossbach von Storch</t>
  </si>
  <si>
    <t>Sigefi ETI VI</t>
  </si>
  <si>
    <t>Singapore Airlines Ltd.</t>
  </si>
  <si>
    <t>Syensqo S.A</t>
  </si>
  <si>
    <t>Bellevue A + Bellevue B
Corridor Bellevue
Corridor Bellevue
Corridor Bellevue</t>
  </si>
  <si>
    <t>Gallery C
Ballroom C
Boudoir</t>
  </si>
  <si>
    <t>Stephanie</t>
  </si>
  <si>
    <t>Antichambre</t>
  </si>
  <si>
    <t>Yannick Nelissen Grade</t>
  </si>
  <si>
    <t>Mathilde de Vergnette</t>
  </si>
  <si>
    <t>Jeroen Desaer</t>
  </si>
  <si>
    <t>Pascale Feickens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</si>
</sst>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2" formatCode="_-* #,##0\ &quot;€&quot;_-;\-* #,##0\ &quot;€&quot;_-;_-* &quot;-&quot;\ &quot;€&quot;_-;_-@_-"/>
    <numFmt numFmtId="41" formatCode="_-* #,##0\ _€_-;\-* #,##0\ _€_-;_-* &quot;-&quot;\ _€_-;_-@_-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_-;\-* #,##0_-;_-* &quot;-&quot;_-;_-@_-"/>
    <numFmt numFmtId="165" formatCode="_-* #,##0.00_-;\-* #,##0.00_-;_-* &quot;-&quot;??_-;_-@_-"/>
    <numFmt numFmtId="166" formatCode="_-&quot;£&quot;* #,##0.00_-;\-&quot;£&quot;* #,##0.00_-;_-&quot;£&quot;* &quot;-&quot;??_-;_-@_-"/>
    <numFmt numFmtId="167" formatCode="_(&quot;$&quot;* #,##0_);_(&quot;$&quot;* \(#,##0\);_(&quot;$&quot;* &quot;-&quot;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_(* #,##0.00_);_(* \(#,##0.00\);_(* &quot;-&quot;??_);_(@_)"/>
    <numFmt numFmtId="171" formatCode="&quot;€&quot;\ #,##0;&quot;€&quot;\ \-#,##0"/>
    <numFmt numFmtId="172" formatCode="&quot;€&quot;\ #,##0.00;&quot;€&quot;\ \-#,##0.00"/>
    <numFmt numFmtId="173" formatCode="_ &quot;€&quot;\ * #,##0_ ;_ &quot;€&quot;\ * \-#,##0_ ;_ &quot;€&quot;\ * &quot;-&quot;_ ;_ @_ "/>
    <numFmt numFmtId="174" formatCode="_ * #,##0_ ;_ * \-#,##0_ ;_ * &quot;-&quot;_ ;_ @_ "/>
    <numFmt numFmtId="175" formatCode="_ &quot;€&quot;\ * #,##0.00_ ;_ &quot;€&quot;\ * \-#,##0.00_ ;_ &quot;€&quot;\ * &quot;-&quot;??_ ;_ @_ "/>
    <numFmt numFmtId="176" formatCode="_ * #,##0.00_ ;_ * \-#,##0.00_ ;_ * &quot;-&quot;??_ ;_ @_ "/>
    <numFmt numFmtId="177" formatCode="&quot;€&quot;\ #,##0.00"/>
    <numFmt numFmtId="178" formatCode="dd/mm/yyyy;@"/>
    <numFmt numFmtId="179" formatCode="d/mm/yyyy;@"/>
    <numFmt numFmtId="180" formatCode="&quot;€&quot;\ #,##0"/>
    <numFmt numFmtId="181" formatCode="0.0%"/>
    <numFmt numFmtId="182" formatCode="#,##0.0"/>
    <numFmt numFmtId="183" formatCode="dddd"/>
    <numFmt numFmtId="184" formatCode="[$€-80C]\ #,##0.00"/>
    <numFmt numFmtId="185" formatCode="#,##0.00\ &quot;€&quot;"/>
    <numFmt numFmtId="186" formatCode="[$€-80C]\ #,##0"/>
    <numFmt numFmtId="187" formatCode="_ * #,##0_ ;_ * \-#,##0_ ;_ * &quot;-&quot;??_ ;_ @_ "/>
    <numFmt numFmtId="188" formatCode="mmmm"/>
    <numFmt numFmtId="189" formatCode="_-* #,##0.00\ [$€-1]_-;\-* #,##0.00\ [$€-1]_-;_-* &quot;-&quot;??\ [$€-1]_-"/>
    <numFmt numFmtId="190" formatCode="_-* #,##0.00\ [$€]_-;\-* #,##0.00\ [$€]_-;_-* &quot;-&quot;??\ [$€]_-;_-@_-"/>
    <numFmt numFmtId="191" formatCode="_-* #,##0.00_-;_-* #,##0.00\-;_-* &quot;-&quot;??_-;_-@_-"/>
    <numFmt numFmtId="192" formatCode="_-* #,##0.00\ _D_M_-;\-* #,##0.00\ _D_M_-;_-* &quot;-&quot;??\ _D_M_-;_-@_-"/>
    <numFmt numFmtId="193" formatCode="_-* #,##0.00\ &quot;DM&quot;_-;\-* #,##0.00\ &quot;DM&quot;_-;_-* &quot;-&quot;??\ &quot;DM&quot;_-;_-@_-"/>
    <numFmt numFmtId="194" formatCode="d/m;@"/>
  </numFmts>
  <fonts count="2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b/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61"/>
      <name val="Arial"/>
      <family val="2"/>
    </font>
    <font>
      <u/>
      <sz val="10"/>
      <color indexed="63"/>
      <name val="Arial"/>
      <family val="2"/>
    </font>
    <font>
      <b/>
      <sz val="10"/>
      <color indexed="9"/>
      <name val="Arial"/>
      <family val="2"/>
    </font>
    <font>
      <b/>
      <sz val="16"/>
      <name val="Arial"/>
      <family val="2"/>
    </font>
    <font>
      <sz val="10"/>
      <color indexed="58"/>
      <name val="Arial"/>
      <family val="2"/>
    </font>
    <font>
      <sz val="11"/>
      <color indexed="8"/>
      <name val="Arial"/>
      <family val="2"/>
    </font>
    <font>
      <sz val="11"/>
      <color indexed="9"/>
      <name val="Arial"/>
      <family val="2"/>
    </font>
    <font>
      <sz val="11"/>
      <color indexed="56"/>
      <name val="Arial"/>
      <family val="2"/>
    </font>
    <font>
      <b/>
      <sz val="11"/>
      <color indexed="52"/>
      <name val="Arial"/>
      <family val="2"/>
    </font>
    <font>
      <i/>
      <sz val="11"/>
      <color indexed="23"/>
      <name val="Arial"/>
      <family val="2"/>
    </font>
    <font>
      <sz val="11"/>
      <color indexed="17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sz val="11"/>
      <color indexed="62"/>
      <name val="Arial"/>
      <family val="2"/>
    </font>
    <font>
      <sz val="11"/>
      <color indexed="52"/>
      <name val="Arial"/>
      <family val="2"/>
    </font>
    <font>
      <sz val="11"/>
      <color indexed="60"/>
      <name val="Arial"/>
      <family val="2"/>
    </font>
    <font>
      <b/>
      <sz val="11"/>
      <color indexed="54"/>
      <name val="Arial"/>
      <family val="2"/>
    </font>
    <font>
      <b/>
      <sz val="18"/>
      <color indexed="62"/>
      <name val="Arial"/>
      <family val="2"/>
    </font>
    <font>
      <b/>
      <sz val="11"/>
      <color indexed="8"/>
      <name val="Arial"/>
      <family val="2"/>
    </font>
    <font>
      <sz val="11"/>
      <color indexed="10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b/>
      <sz val="11"/>
      <color indexed="9"/>
      <name val="Arial"/>
      <family val="2"/>
    </font>
    <font>
      <u/>
      <sz val="10"/>
      <color indexed="61"/>
      <name val="Arial"/>
      <family val="2"/>
    </font>
    <font>
      <u/>
      <sz val="10"/>
      <color indexed="63"/>
      <name val="Arial"/>
      <family val="2"/>
    </font>
    <font>
      <b/>
      <sz val="10"/>
      <color indexed="9"/>
      <name val="Arial"/>
      <family val="2"/>
    </font>
    <font>
      <sz val="11"/>
      <color indexed="8"/>
      <name val="Arial"/>
      <family val="2"/>
    </font>
    <font>
      <sz val="11"/>
      <color indexed="56"/>
      <name val="Arial"/>
      <family val="2"/>
    </font>
    <font>
      <b/>
      <sz val="11"/>
      <color indexed="52"/>
      <name val="Arial"/>
      <family val="2"/>
    </font>
    <font>
      <i/>
      <sz val="11"/>
      <color indexed="23"/>
      <name val="Arial"/>
      <family val="2"/>
    </font>
    <font>
      <sz val="11"/>
      <color indexed="17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sz val="11"/>
      <color indexed="62"/>
      <name val="Arial"/>
      <family val="2"/>
    </font>
    <font>
      <sz val="11"/>
      <color indexed="52"/>
      <name val="Arial"/>
      <family val="2"/>
    </font>
    <font>
      <sz val="11"/>
      <color indexed="60"/>
      <name val="Arial"/>
      <family val="2"/>
    </font>
    <font>
      <b/>
      <sz val="11"/>
      <color indexed="54"/>
      <name val="Arial"/>
      <family val="2"/>
    </font>
    <font>
      <b/>
      <sz val="18"/>
      <color indexed="62"/>
      <name val="Arial"/>
      <family val="2"/>
    </font>
    <font>
      <b/>
      <sz val="11"/>
      <color indexed="8"/>
      <name val="Arial"/>
      <family val="2"/>
    </font>
    <font>
      <sz val="11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6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8"/>
      <name val="Arial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54"/>
      <name val="Calibri"/>
      <family val="2"/>
    </font>
    <font>
      <sz val="10"/>
      <name val="Arial Narrow"/>
      <family val="2"/>
    </font>
    <font>
      <sz val="10"/>
      <color theme="1"/>
      <name val="Tahoma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18"/>
      <color indexed="62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8"/>
      <name val="Garamond"/>
      <family val="2"/>
    </font>
    <font>
      <sz val="12"/>
      <color indexed="9"/>
      <name val="Garamond"/>
      <family val="2"/>
    </font>
    <font>
      <u/>
      <sz val="11"/>
      <color theme="10"/>
      <name val="Calibri"/>
      <family val="2"/>
      <scheme val="minor"/>
    </font>
    <font>
      <b/>
      <sz val="11"/>
      <color indexed="63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2.3"/>
      <color theme="1"/>
      <name val="Calibri"/>
      <family val="2"/>
    </font>
    <font>
      <b/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6"/>
      <color rgb="FF00B050"/>
      <name val="Calibri"/>
      <family val="2"/>
      <scheme val="minor"/>
    </font>
    <font>
      <sz val="16"/>
      <color indexed="12"/>
      <name val="Verdana"/>
      <family val="2"/>
    </font>
    <font>
      <sz val="16"/>
      <name val="Calibri"/>
      <family val="2"/>
      <scheme val="minor"/>
    </font>
  </fonts>
  <fills count="8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3" tint="0.79998168889431442"/>
        <bgColor indexed="64"/>
      </patternFill>
    </fill>
  </fills>
  <borders count="9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thin">
        <color indexed="58"/>
      </top>
      <bottom style="thin">
        <color indexed="58"/>
      </bottom>
      <diagonal/>
    </border>
    <border>
      <left style="thin">
        <color indexed="58"/>
      </left>
      <right/>
      <top style="thin">
        <color indexed="58"/>
      </top>
      <bottom style="thin">
        <color indexed="58"/>
      </bottom>
      <diagonal/>
    </border>
    <border>
      <left/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54"/>
      </left>
      <right style="double">
        <color indexed="54"/>
      </right>
      <top style="double">
        <color indexed="54"/>
      </top>
      <bottom style="double">
        <color indexed="5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9452">
    <xf numFmtId="184" fontId="0" fillId="0" borderId="0"/>
    <xf numFmtId="9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84" fontId="7" fillId="0" borderId="0" applyNumberFormat="0" applyFill="0" applyBorder="0" applyAlignment="0" applyProtection="0"/>
    <xf numFmtId="184" fontId="8" fillId="0" borderId="32" applyNumberFormat="0" applyFill="0" applyAlignment="0" applyProtection="0"/>
    <xf numFmtId="184" fontId="9" fillId="0" borderId="33" applyNumberFormat="0" applyFill="0" applyAlignment="0" applyProtection="0"/>
    <xf numFmtId="184" fontId="10" fillId="0" borderId="34" applyNumberFormat="0" applyFill="0" applyAlignment="0" applyProtection="0"/>
    <xf numFmtId="184" fontId="10" fillId="0" borderId="0" applyNumberFormat="0" applyFill="0" applyBorder="0" applyAlignment="0" applyProtection="0"/>
    <xf numFmtId="184" fontId="11" fillId="7" borderId="0" applyNumberFormat="0" applyBorder="0" applyAlignment="0" applyProtection="0"/>
    <xf numFmtId="184" fontId="12" fillId="8" borderId="0" applyNumberFormat="0" applyBorder="0" applyAlignment="0" applyProtection="0"/>
    <xf numFmtId="184" fontId="13" fillId="9" borderId="0" applyNumberFormat="0" applyBorder="0" applyAlignment="0" applyProtection="0"/>
    <xf numFmtId="184" fontId="14" fillId="10" borderId="35" applyNumberFormat="0" applyAlignment="0" applyProtection="0"/>
    <xf numFmtId="184" fontId="15" fillId="11" borderId="36" applyNumberFormat="0" applyAlignment="0" applyProtection="0"/>
    <xf numFmtId="184" fontId="16" fillId="11" borderId="35" applyNumberFormat="0" applyAlignment="0" applyProtection="0"/>
    <xf numFmtId="184" fontId="17" fillId="0" borderId="37" applyNumberFormat="0" applyFill="0" applyAlignment="0" applyProtection="0"/>
    <xf numFmtId="184" fontId="18" fillId="12" borderId="38" applyNumberFormat="0" applyAlignment="0" applyProtection="0"/>
    <xf numFmtId="184" fontId="19" fillId="0" borderId="0" applyNumberFormat="0" applyFill="0" applyBorder="0" applyAlignment="0" applyProtection="0"/>
    <xf numFmtId="184" fontId="1" fillId="13" borderId="39" applyNumberFormat="0" applyFont="0" applyAlignment="0" applyProtection="0"/>
    <xf numFmtId="184" fontId="20" fillId="0" borderId="0" applyNumberFormat="0" applyFill="0" applyBorder="0" applyAlignment="0" applyProtection="0"/>
    <xf numFmtId="184" fontId="6" fillId="0" borderId="40" applyNumberFormat="0" applyFill="0" applyAlignment="0" applyProtection="0"/>
    <xf numFmtId="184" fontId="21" fillId="14" borderId="0" applyNumberFormat="0" applyBorder="0" applyAlignment="0" applyProtection="0"/>
    <xf numFmtId="184" fontId="1" fillId="15" borderId="0" applyNumberFormat="0" applyBorder="0" applyAlignment="0" applyProtection="0"/>
    <xf numFmtId="184" fontId="1" fillId="16" borderId="0" applyNumberFormat="0" applyBorder="0" applyAlignment="0" applyProtection="0"/>
    <xf numFmtId="184" fontId="21" fillId="17" borderId="0" applyNumberFormat="0" applyBorder="0" applyAlignment="0" applyProtection="0"/>
    <xf numFmtId="184" fontId="21" fillId="18" borderId="0" applyNumberFormat="0" applyBorder="0" applyAlignment="0" applyProtection="0"/>
    <xf numFmtId="184" fontId="1" fillId="19" borderId="0" applyNumberFormat="0" applyBorder="0" applyAlignment="0" applyProtection="0"/>
    <xf numFmtId="184" fontId="1" fillId="20" borderId="0" applyNumberFormat="0" applyBorder="0" applyAlignment="0" applyProtection="0"/>
    <xf numFmtId="184" fontId="21" fillId="21" borderId="0" applyNumberFormat="0" applyBorder="0" applyAlignment="0" applyProtection="0"/>
    <xf numFmtId="184" fontId="21" fillId="22" borderId="0" applyNumberFormat="0" applyBorder="0" applyAlignment="0" applyProtection="0"/>
    <xf numFmtId="184" fontId="1" fillId="23" borderId="0" applyNumberFormat="0" applyBorder="0" applyAlignment="0" applyProtection="0"/>
    <xf numFmtId="184" fontId="1" fillId="24" borderId="0" applyNumberFormat="0" applyBorder="0" applyAlignment="0" applyProtection="0"/>
    <xf numFmtId="184" fontId="21" fillId="25" borderId="0" applyNumberFormat="0" applyBorder="0" applyAlignment="0" applyProtection="0"/>
    <xf numFmtId="184" fontId="21" fillId="26" borderId="0" applyNumberFormat="0" applyBorder="0" applyAlignment="0" applyProtection="0"/>
    <xf numFmtId="184" fontId="1" fillId="27" borderId="0" applyNumberFormat="0" applyBorder="0" applyAlignment="0" applyProtection="0"/>
    <xf numFmtId="184" fontId="1" fillId="28" borderId="0" applyNumberFormat="0" applyBorder="0" applyAlignment="0" applyProtection="0"/>
    <xf numFmtId="184" fontId="21" fillId="29" borderId="0" applyNumberFormat="0" applyBorder="0" applyAlignment="0" applyProtection="0"/>
    <xf numFmtId="184" fontId="21" fillId="30" borderId="0" applyNumberFormat="0" applyBorder="0" applyAlignment="0" applyProtection="0"/>
    <xf numFmtId="184" fontId="1" fillId="31" borderId="0" applyNumberFormat="0" applyBorder="0" applyAlignment="0" applyProtection="0"/>
    <xf numFmtId="184" fontId="1" fillId="32" borderId="0" applyNumberFormat="0" applyBorder="0" applyAlignment="0" applyProtection="0"/>
    <xf numFmtId="184" fontId="21" fillId="33" borderId="0" applyNumberFormat="0" applyBorder="0" applyAlignment="0" applyProtection="0"/>
    <xf numFmtId="184" fontId="21" fillId="34" borderId="0" applyNumberFormat="0" applyBorder="0" applyAlignment="0" applyProtection="0"/>
    <xf numFmtId="184" fontId="1" fillId="35" borderId="0" applyNumberFormat="0" applyBorder="0" applyAlignment="0" applyProtection="0"/>
    <xf numFmtId="184" fontId="1" fillId="36" borderId="0" applyNumberFormat="0" applyBorder="0" applyAlignment="0" applyProtection="0"/>
    <xf numFmtId="184" fontId="21" fillId="37" borderId="0" applyNumberFormat="0" applyBorder="0" applyAlignment="0" applyProtection="0"/>
    <xf numFmtId="184" fontId="1" fillId="0" borderId="0"/>
    <xf numFmtId="184" fontId="7" fillId="0" borderId="0" applyNumberFormat="0" applyFill="0" applyBorder="0" applyAlignment="0" applyProtection="0"/>
    <xf numFmtId="184" fontId="8" fillId="0" borderId="32" applyNumberFormat="0" applyFill="0" applyAlignment="0" applyProtection="0"/>
    <xf numFmtId="184" fontId="9" fillId="0" borderId="33" applyNumberFormat="0" applyFill="0" applyAlignment="0" applyProtection="0"/>
    <xf numFmtId="184" fontId="10" fillId="0" borderId="34" applyNumberFormat="0" applyFill="0" applyAlignment="0" applyProtection="0"/>
    <xf numFmtId="184" fontId="10" fillId="0" borderId="0" applyNumberFormat="0" applyFill="0" applyBorder="0" applyAlignment="0" applyProtection="0"/>
    <xf numFmtId="184" fontId="11" fillId="7" borderId="0" applyNumberFormat="0" applyBorder="0" applyAlignment="0" applyProtection="0"/>
    <xf numFmtId="184" fontId="12" fillId="8" borderId="0" applyNumberFormat="0" applyBorder="0" applyAlignment="0" applyProtection="0"/>
    <xf numFmtId="184" fontId="13" fillId="9" borderId="0" applyNumberFormat="0" applyBorder="0" applyAlignment="0" applyProtection="0"/>
    <xf numFmtId="184" fontId="14" fillId="10" borderId="35" applyNumberFormat="0" applyAlignment="0" applyProtection="0"/>
    <xf numFmtId="184" fontId="15" fillId="11" borderId="36" applyNumberFormat="0" applyAlignment="0" applyProtection="0"/>
    <xf numFmtId="184" fontId="16" fillId="11" borderId="35" applyNumberFormat="0" applyAlignment="0" applyProtection="0"/>
    <xf numFmtId="184" fontId="17" fillId="0" borderId="37" applyNumberFormat="0" applyFill="0" applyAlignment="0" applyProtection="0"/>
    <xf numFmtId="184" fontId="18" fillId="12" borderId="38" applyNumberFormat="0" applyAlignment="0" applyProtection="0"/>
    <xf numFmtId="184" fontId="19" fillId="0" borderId="0" applyNumberFormat="0" applyFill="0" applyBorder="0" applyAlignment="0" applyProtection="0"/>
    <xf numFmtId="184" fontId="1" fillId="13" borderId="39" applyNumberFormat="0" applyFont="0" applyAlignment="0" applyProtection="0"/>
    <xf numFmtId="184" fontId="20" fillId="0" borderId="0" applyNumberFormat="0" applyFill="0" applyBorder="0" applyAlignment="0" applyProtection="0"/>
    <xf numFmtId="184" fontId="6" fillId="0" borderId="40" applyNumberFormat="0" applyFill="0" applyAlignment="0" applyProtection="0"/>
    <xf numFmtId="184" fontId="21" fillId="14" borderId="0" applyNumberFormat="0" applyBorder="0" applyAlignment="0" applyProtection="0"/>
    <xf numFmtId="184" fontId="1" fillId="15" borderId="0" applyNumberFormat="0" applyBorder="0" applyAlignment="0" applyProtection="0"/>
    <xf numFmtId="184" fontId="1" fillId="16" borderId="0" applyNumberFormat="0" applyBorder="0" applyAlignment="0" applyProtection="0"/>
    <xf numFmtId="184" fontId="21" fillId="17" borderId="0" applyNumberFormat="0" applyBorder="0" applyAlignment="0" applyProtection="0"/>
    <xf numFmtId="184" fontId="21" fillId="18" borderId="0" applyNumberFormat="0" applyBorder="0" applyAlignment="0" applyProtection="0"/>
    <xf numFmtId="184" fontId="1" fillId="19" borderId="0" applyNumberFormat="0" applyBorder="0" applyAlignment="0" applyProtection="0"/>
    <xf numFmtId="184" fontId="1" fillId="20" borderId="0" applyNumberFormat="0" applyBorder="0" applyAlignment="0" applyProtection="0"/>
    <xf numFmtId="184" fontId="21" fillId="21" borderId="0" applyNumberFormat="0" applyBorder="0" applyAlignment="0" applyProtection="0"/>
    <xf numFmtId="184" fontId="21" fillId="22" borderId="0" applyNumberFormat="0" applyBorder="0" applyAlignment="0" applyProtection="0"/>
    <xf numFmtId="184" fontId="1" fillId="23" borderId="0" applyNumberFormat="0" applyBorder="0" applyAlignment="0" applyProtection="0"/>
    <xf numFmtId="184" fontId="1" fillId="24" borderId="0" applyNumberFormat="0" applyBorder="0" applyAlignment="0" applyProtection="0"/>
    <xf numFmtId="184" fontId="21" fillId="25" borderId="0" applyNumberFormat="0" applyBorder="0" applyAlignment="0" applyProtection="0"/>
    <xf numFmtId="184" fontId="21" fillId="26" borderId="0" applyNumberFormat="0" applyBorder="0" applyAlignment="0" applyProtection="0"/>
    <xf numFmtId="184" fontId="1" fillId="27" borderId="0" applyNumberFormat="0" applyBorder="0" applyAlignment="0" applyProtection="0"/>
    <xf numFmtId="184" fontId="1" fillId="28" borderId="0" applyNumberFormat="0" applyBorder="0" applyAlignment="0" applyProtection="0"/>
    <xf numFmtId="184" fontId="21" fillId="29" borderId="0" applyNumberFormat="0" applyBorder="0" applyAlignment="0" applyProtection="0"/>
    <xf numFmtId="184" fontId="21" fillId="30" borderId="0" applyNumberFormat="0" applyBorder="0" applyAlignment="0" applyProtection="0"/>
    <xf numFmtId="184" fontId="1" fillId="31" borderId="0" applyNumberFormat="0" applyBorder="0" applyAlignment="0" applyProtection="0"/>
    <xf numFmtId="184" fontId="1" fillId="32" borderId="0" applyNumberFormat="0" applyBorder="0" applyAlignment="0" applyProtection="0"/>
    <xf numFmtId="184" fontId="21" fillId="33" borderId="0" applyNumberFormat="0" applyBorder="0" applyAlignment="0" applyProtection="0"/>
    <xf numFmtId="184" fontId="21" fillId="34" borderId="0" applyNumberFormat="0" applyBorder="0" applyAlignment="0" applyProtection="0"/>
    <xf numFmtId="184" fontId="1" fillId="35" borderId="0" applyNumberFormat="0" applyBorder="0" applyAlignment="0" applyProtection="0"/>
    <xf numFmtId="184" fontId="1" fillId="36" borderId="0" applyNumberFormat="0" applyBorder="0" applyAlignment="0" applyProtection="0"/>
    <xf numFmtId="184" fontId="21" fillId="37" borderId="0" applyNumberFormat="0" applyBorder="0" applyAlignment="0" applyProtection="0"/>
    <xf numFmtId="184" fontId="1" fillId="0" borderId="0"/>
    <xf numFmtId="184" fontId="1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39" fillId="0" borderId="0"/>
    <xf numFmtId="184" fontId="39" fillId="0" borderId="0"/>
    <xf numFmtId="170" fontId="39" fillId="0" borderId="0" applyBorder="0"/>
    <xf numFmtId="168" fontId="39" fillId="0" borderId="0" applyBorder="0"/>
    <xf numFmtId="169" fontId="39" fillId="0" borderId="0" applyBorder="0"/>
    <xf numFmtId="167" fontId="39" fillId="0" borderId="0" applyBorder="0"/>
    <xf numFmtId="184" fontId="40" fillId="0" borderId="0" applyNumberFormat="0" applyBorder="0"/>
    <xf numFmtId="184" fontId="41" fillId="0" borderId="0" applyNumberFormat="0" applyBorder="0"/>
    <xf numFmtId="9" fontId="39" fillId="0" borderId="0" applyBorder="0"/>
    <xf numFmtId="184" fontId="40" fillId="0" borderId="0" applyNumberFormat="0" applyBorder="0"/>
    <xf numFmtId="184" fontId="41" fillId="0" borderId="0" applyNumberFormat="0" applyBorder="0"/>
    <xf numFmtId="9" fontId="39" fillId="0" borderId="0" applyBorder="0"/>
    <xf numFmtId="184" fontId="40" fillId="0" borderId="0" applyNumberFormat="0" applyBorder="0"/>
    <xf numFmtId="184" fontId="41" fillId="0" borderId="0" applyNumberFormat="0" applyBorder="0"/>
    <xf numFmtId="9" fontId="39" fillId="0" borderId="0" applyBorder="0"/>
    <xf numFmtId="184" fontId="40" fillId="0" borderId="0" applyNumberFormat="0" applyBorder="0"/>
    <xf numFmtId="184" fontId="41" fillId="0" borderId="0" applyNumberFormat="0" applyBorder="0"/>
    <xf numFmtId="9" fontId="39" fillId="0" borderId="0" applyBorder="0"/>
    <xf numFmtId="184" fontId="40" fillId="0" borderId="0" applyNumberFormat="0" applyBorder="0"/>
    <xf numFmtId="184" fontId="40" fillId="0" borderId="0" applyNumberFormat="0" applyBorder="0" applyAlignment="0" applyProtection="0"/>
    <xf numFmtId="184" fontId="41" fillId="0" borderId="0" applyNumberFormat="0" applyBorder="0" applyAlignment="0" applyProtection="0"/>
    <xf numFmtId="9" fontId="39" fillId="0" borderId="0" applyBorder="0"/>
    <xf numFmtId="184" fontId="41" fillId="0" borderId="0" applyNumberFormat="0" applyBorder="0"/>
    <xf numFmtId="9" fontId="39" fillId="0" borderId="0" applyBorder="0"/>
    <xf numFmtId="9" fontId="39" fillId="0" borderId="0" applyBorder="0"/>
    <xf numFmtId="184" fontId="45" fillId="0" borderId="0" applyNumberFormat="0" applyBorder="0" applyAlignment="0" applyProtection="0"/>
    <xf numFmtId="184" fontId="46" fillId="0" borderId="0" applyNumberFormat="0" applyBorder="0" applyAlignment="0" applyProtection="0"/>
    <xf numFmtId="9" fontId="39" fillId="0" borderId="0" applyFont="0" applyBorder="0"/>
    <xf numFmtId="9" fontId="39" fillId="0" borderId="0" applyFont="0" applyBorder="0"/>
    <xf numFmtId="184" fontId="39" fillId="39" borderId="49" applyNumberFormat="0" applyFont="0" applyProtection="0">
      <alignment horizontal="left"/>
    </xf>
    <xf numFmtId="184" fontId="39" fillId="39" borderId="50" applyNumberFormat="0" applyFont="0" applyAlignment="0" applyProtection="0"/>
    <xf numFmtId="184" fontId="39" fillId="39" borderId="51" applyNumberFormat="0" applyFont="0" applyAlignment="0" applyProtection="0"/>
    <xf numFmtId="184" fontId="39" fillId="39" borderId="52" applyNumberFormat="0" applyFont="0" applyAlignment="0" applyProtection="0"/>
    <xf numFmtId="184" fontId="39" fillId="40" borderId="52" applyNumberFormat="0" applyFont="0" applyProtection="0">
      <alignment horizontal="center" vertical="center"/>
    </xf>
    <xf numFmtId="184" fontId="43" fillId="41" borderId="0" applyNumberFormat="0" applyAlignment="0" applyProtection="0"/>
    <xf numFmtId="184" fontId="42" fillId="42" borderId="0" applyNumberFormat="0" applyBorder="0" applyProtection="0">
      <alignment horizontal="center" wrapText="1"/>
    </xf>
    <xf numFmtId="184" fontId="42" fillId="42" borderId="0" applyNumberFormat="0" applyBorder="0" applyProtection="0">
      <alignment horizontal="center" wrapText="1"/>
    </xf>
    <xf numFmtId="184" fontId="43" fillId="41" borderId="0" applyNumberFormat="0"/>
    <xf numFmtId="184" fontId="39" fillId="41" borderId="49" applyNumberFormat="0">
      <alignment horizontal="left" vertical="center"/>
    </xf>
    <xf numFmtId="184" fontId="39" fillId="41" borderId="50" applyNumberFormat="0">
      <alignment horizontal="center" vertical="center"/>
    </xf>
    <xf numFmtId="184" fontId="39" fillId="41" borderId="51" applyNumberFormat="0">
      <alignment horizontal="center" vertical="center"/>
    </xf>
    <xf numFmtId="184" fontId="39" fillId="41" borderId="49" applyNumberFormat="0" applyFont="0" applyProtection="0">
      <alignment horizontal="left"/>
    </xf>
    <xf numFmtId="184" fontId="39" fillId="41" borderId="50" applyNumberFormat="0" applyFont="0" applyAlignment="0" applyProtection="0"/>
    <xf numFmtId="184" fontId="39" fillId="41" borderId="51" applyNumberFormat="0" applyFont="0" applyAlignment="0" applyProtection="0"/>
    <xf numFmtId="184" fontId="39" fillId="41" borderId="52" applyNumberFormat="0" applyFont="0" applyAlignment="0" applyProtection="0"/>
    <xf numFmtId="184" fontId="39" fillId="39" borderId="49" applyNumberFormat="0" applyFont="0" applyProtection="0">
      <alignment horizontal="left"/>
    </xf>
    <xf numFmtId="184" fontId="39" fillId="39" borderId="50" applyNumberFormat="0" applyFont="0" applyAlignment="0" applyProtection="0"/>
    <xf numFmtId="184" fontId="39" fillId="39" borderId="51" applyNumberFormat="0" applyFont="0" applyAlignment="0" applyProtection="0"/>
    <xf numFmtId="184" fontId="39" fillId="39" borderId="52" applyNumberFormat="0" applyFont="0" applyAlignment="0" applyProtection="0"/>
    <xf numFmtId="184" fontId="39" fillId="40" borderId="52" applyNumberFormat="0" applyFont="0" applyProtection="0">
      <alignment horizontal="center" vertical="center"/>
    </xf>
    <xf numFmtId="184" fontId="44" fillId="39" borderId="52" applyNumberFormat="0" applyProtection="0">
      <alignment horizontal="center" vertical="center"/>
    </xf>
    <xf numFmtId="184" fontId="43" fillId="43" borderId="0" applyNumberFormat="0" applyBorder="0" applyAlignment="0" applyProtection="0"/>
    <xf numFmtId="184" fontId="47" fillId="43" borderId="0" applyNumberFormat="0" applyBorder="0" applyProtection="0">
      <alignment horizontal="center"/>
    </xf>
    <xf numFmtId="184" fontId="43" fillId="41" borderId="0" applyNumberFormat="0" applyAlignment="0" applyProtection="0"/>
    <xf numFmtId="184" fontId="39" fillId="41" borderId="49" applyNumberFormat="0">
      <alignment horizontal="left" vertical="center"/>
    </xf>
    <xf numFmtId="184" fontId="39" fillId="41" borderId="50" applyNumberFormat="0">
      <alignment horizontal="center" vertical="center"/>
    </xf>
    <xf numFmtId="184" fontId="39" fillId="41" borderId="51" applyNumberFormat="0">
      <alignment horizontal="center" vertical="center"/>
    </xf>
    <xf numFmtId="184" fontId="39" fillId="41" borderId="52" applyNumberFormat="0">
      <alignment horizontal="center" vertical="center"/>
    </xf>
    <xf numFmtId="184" fontId="39" fillId="44" borderId="49" applyNumberFormat="0">
      <alignment horizontal="left" vertical="center"/>
    </xf>
    <xf numFmtId="184" fontId="39" fillId="44" borderId="50" applyNumberFormat="0">
      <alignment horizontal="center" vertical="center"/>
    </xf>
    <xf numFmtId="184" fontId="39" fillId="44" borderId="51" applyNumberFormat="0">
      <alignment horizontal="center" vertical="center"/>
    </xf>
    <xf numFmtId="184" fontId="39" fillId="44" borderId="52" applyNumberFormat="0">
      <alignment horizontal="center" vertical="center"/>
    </xf>
    <xf numFmtId="184" fontId="39" fillId="40" borderId="52" applyNumberFormat="0">
      <alignment horizontal="center" vertical="center"/>
    </xf>
    <xf numFmtId="184" fontId="43" fillId="41" borderId="0" applyNumberFormat="0" applyAlignment="0" applyProtection="0"/>
    <xf numFmtId="184" fontId="48" fillId="45" borderId="0" applyNumberFormat="0" applyBorder="0" applyAlignment="0" applyProtection="0"/>
    <xf numFmtId="184" fontId="39" fillId="41" borderId="53" applyNumberFormat="0" applyFont="0" applyProtection="0">
      <alignment horizontal="left" vertical="center"/>
    </xf>
    <xf numFmtId="184" fontId="39" fillId="41" borderId="53" applyNumberFormat="0" applyFont="0" applyProtection="0">
      <alignment horizontal="left" vertical="center"/>
    </xf>
    <xf numFmtId="184" fontId="39" fillId="41" borderId="54" applyNumberFormat="0" applyProtection="0">
      <alignment horizontal="center" vertical="center"/>
    </xf>
    <xf numFmtId="184" fontId="39" fillId="41" borderId="54" applyNumberFormat="0" applyProtection="0">
      <alignment horizontal="center" vertical="center"/>
    </xf>
    <xf numFmtId="184" fontId="39" fillId="41" borderId="55" applyNumberFormat="0" applyProtection="0">
      <alignment horizontal="center" vertical="center"/>
    </xf>
    <xf numFmtId="184" fontId="39" fillId="41" borderId="55" applyNumberFormat="0" applyProtection="0">
      <alignment horizontal="center" vertical="center"/>
    </xf>
    <xf numFmtId="184" fontId="39" fillId="41" borderId="56" applyNumberFormat="0" applyProtection="0">
      <alignment horizontal="center" vertical="center"/>
    </xf>
    <xf numFmtId="184" fontId="39" fillId="41" borderId="56" applyNumberFormat="0" applyProtection="0">
      <alignment horizontal="center" vertical="center"/>
    </xf>
    <xf numFmtId="184" fontId="39" fillId="46" borderId="53" applyNumberFormat="0" applyFont="0" applyProtection="0">
      <alignment horizontal="left" vertical="center"/>
    </xf>
    <xf numFmtId="184" fontId="39" fillId="46" borderId="53" applyNumberFormat="0" applyFont="0" applyProtection="0">
      <alignment horizontal="left" vertical="center"/>
    </xf>
    <xf numFmtId="184" fontId="39" fillId="46" borderId="54" applyNumberFormat="0" applyFont="0" applyProtection="0">
      <alignment horizontal="center" vertical="center"/>
    </xf>
    <xf numFmtId="184" fontId="39" fillId="46" borderId="54" applyNumberFormat="0" applyFont="0" applyProtection="0">
      <alignment horizontal="center" vertical="center"/>
    </xf>
    <xf numFmtId="184" fontId="39" fillId="46" borderId="55" applyNumberFormat="0" applyFont="0" applyProtection="0">
      <alignment horizontal="center" vertical="center"/>
    </xf>
    <xf numFmtId="184" fontId="39" fillId="46" borderId="55" applyNumberFormat="0" applyFont="0" applyProtection="0">
      <alignment horizontal="center" vertical="center"/>
    </xf>
    <xf numFmtId="184" fontId="39" fillId="46" borderId="56" applyNumberFormat="0" applyFont="0" applyProtection="0">
      <alignment horizontal="center" vertical="center"/>
    </xf>
    <xf numFmtId="184" fontId="39" fillId="46" borderId="56" applyNumberFormat="0" applyFont="0" applyProtection="0">
      <alignment horizontal="center" vertical="center"/>
    </xf>
    <xf numFmtId="184" fontId="39" fillId="45" borderId="56" applyNumberFormat="0" applyFont="0" applyProtection="0">
      <alignment horizontal="center" vertical="center"/>
    </xf>
    <xf numFmtId="184" fontId="39" fillId="45" borderId="56" applyNumberFormat="0" applyFont="0" applyProtection="0">
      <alignment horizontal="center" vertical="center"/>
    </xf>
    <xf numFmtId="184" fontId="44" fillId="41" borderId="56" applyNumberFormat="0" applyProtection="0">
      <alignment horizontal="center" vertical="center"/>
    </xf>
    <xf numFmtId="184" fontId="44" fillId="46" borderId="56" applyNumberFormat="0" applyProtection="0">
      <alignment horizontal="center" vertical="center"/>
    </xf>
    <xf numFmtId="184" fontId="42" fillId="42" borderId="0" applyNumberFormat="0" applyBorder="0" applyProtection="0">
      <alignment horizontal="center" wrapText="1"/>
    </xf>
    <xf numFmtId="184" fontId="39" fillId="41" borderId="49" applyNumberFormat="0">
      <alignment horizontal="left" vertical="center"/>
    </xf>
    <xf numFmtId="184" fontId="39" fillId="41" borderId="50" applyNumberFormat="0">
      <alignment horizontal="center" vertical="center"/>
    </xf>
    <xf numFmtId="184" fontId="39" fillId="41" borderId="51" applyNumberFormat="0">
      <alignment horizontal="center" vertical="center"/>
    </xf>
    <xf numFmtId="184" fontId="39" fillId="41" borderId="52" applyNumberFormat="0">
      <alignment horizontal="center" vertical="center"/>
    </xf>
    <xf numFmtId="184" fontId="39" fillId="44" borderId="49" applyNumberFormat="0">
      <alignment horizontal="left" vertical="center"/>
    </xf>
    <xf numFmtId="184" fontId="39" fillId="44" borderId="50" applyNumberFormat="0">
      <alignment horizontal="center" vertical="center"/>
    </xf>
    <xf numFmtId="184" fontId="39" fillId="44" borderId="51" applyNumberFormat="0">
      <alignment horizontal="center" vertical="center"/>
    </xf>
    <xf numFmtId="184" fontId="39" fillId="44" borderId="52" applyNumberFormat="0">
      <alignment horizontal="center" vertical="center"/>
    </xf>
    <xf numFmtId="184" fontId="39" fillId="40" borderId="52" applyNumberFormat="0">
      <alignment horizontal="center" vertical="center"/>
    </xf>
    <xf numFmtId="184" fontId="39" fillId="41" borderId="49" applyNumberFormat="0" applyFont="0" applyProtection="0">
      <alignment horizontal="left" vertical="center"/>
    </xf>
    <xf numFmtId="184" fontId="39" fillId="41" borderId="49" applyNumberFormat="0" applyFont="0" applyProtection="0">
      <alignment horizontal="left" vertical="center"/>
    </xf>
    <xf numFmtId="184" fontId="39" fillId="41" borderId="50" applyNumberFormat="0" applyProtection="0">
      <alignment horizontal="center" vertical="center"/>
    </xf>
    <xf numFmtId="184" fontId="39" fillId="41" borderId="50" applyNumberFormat="0" applyProtection="0">
      <alignment horizontal="center" vertical="center"/>
    </xf>
    <xf numFmtId="184" fontId="39" fillId="41" borderId="51" applyNumberFormat="0" applyProtection="0">
      <alignment horizontal="center" vertical="center"/>
    </xf>
    <xf numFmtId="184" fontId="39" fillId="41" borderId="51" applyNumberFormat="0" applyProtection="0">
      <alignment horizontal="center" vertical="center"/>
    </xf>
    <xf numFmtId="184" fontId="39" fillId="41" borderId="52" applyNumberFormat="0" applyProtection="0">
      <alignment horizontal="center" vertical="center"/>
    </xf>
    <xf numFmtId="184" fontId="39" fillId="41" borderId="52" applyNumberFormat="0" applyProtection="0">
      <alignment horizontal="center" vertical="center"/>
    </xf>
    <xf numFmtId="184" fontId="39" fillId="39" borderId="49" applyNumberFormat="0" applyFont="0" applyProtection="0">
      <alignment horizontal="left" vertical="center"/>
    </xf>
    <xf numFmtId="184" fontId="39" fillId="39" borderId="49" applyNumberFormat="0" applyFont="0" applyProtection="0">
      <alignment horizontal="left" vertical="center"/>
    </xf>
    <xf numFmtId="184" fontId="39" fillId="39" borderId="50" applyNumberFormat="0" applyProtection="0">
      <alignment horizontal="center" vertical="center"/>
    </xf>
    <xf numFmtId="184" fontId="39" fillId="39" borderId="50" applyNumberFormat="0" applyProtection="0">
      <alignment horizontal="center" vertical="center"/>
    </xf>
    <xf numFmtId="184" fontId="39" fillId="39" borderId="51" applyNumberFormat="0" applyProtection="0">
      <alignment horizontal="center" vertical="center"/>
    </xf>
    <xf numFmtId="184" fontId="39" fillId="39" borderId="51" applyNumberFormat="0" applyProtection="0">
      <alignment horizontal="center" vertical="center"/>
    </xf>
    <xf numFmtId="184" fontId="39" fillId="39" borderId="52" applyNumberFormat="0" applyProtection="0">
      <alignment horizontal="center" vertical="center"/>
    </xf>
    <xf numFmtId="184" fontId="39" fillId="39" borderId="52" applyNumberFormat="0" applyProtection="0">
      <alignment horizontal="center" vertical="center"/>
    </xf>
    <xf numFmtId="184" fontId="39" fillId="40" borderId="52" applyNumberFormat="0" applyFont="0" applyProtection="0">
      <alignment horizontal="center" vertical="center"/>
    </xf>
    <xf numFmtId="184" fontId="39" fillId="40" borderId="52" applyNumberFormat="0" applyFont="0" applyProtection="0">
      <alignment horizontal="center" vertical="center"/>
    </xf>
    <xf numFmtId="184" fontId="44" fillId="41" borderId="52" applyNumberFormat="0" applyProtection="0">
      <alignment horizontal="center" vertical="center"/>
    </xf>
    <xf numFmtId="184" fontId="44" fillId="39" borderId="52" applyNumberFormat="0" applyProtection="0">
      <alignment horizontal="center" vertical="center"/>
    </xf>
    <xf numFmtId="184" fontId="42" fillId="42" borderId="0" applyNumberFormat="0" applyBorder="0">
      <alignment horizontal="center" wrapText="1"/>
    </xf>
    <xf numFmtId="184" fontId="43" fillId="41" borderId="0" applyNumberFormat="0"/>
    <xf numFmtId="184" fontId="39" fillId="41" borderId="49" applyNumberFormat="0">
      <alignment horizontal="left" vertical="center"/>
    </xf>
    <xf numFmtId="184" fontId="39" fillId="41" borderId="50" applyNumberFormat="0">
      <alignment horizontal="center" vertical="center"/>
    </xf>
    <xf numFmtId="184" fontId="39" fillId="41" borderId="51" applyNumberFormat="0">
      <alignment horizontal="center" vertical="center"/>
    </xf>
    <xf numFmtId="184" fontId="39" fillId="41" borderId="52" applyNumberFormat="0">
      <alignment horizontal="center" vertical="center"/>
    </xf>
    <xf numFmtId="184" fontId="39" fillId="44" borderId="49" applyNumberFormat="0">
      <alignment horizontal="left" vertical="center"/>
    </xf>
    <xf numFmtId="184" fontId="39" fillId="44" borderId="50" applyNumberFormat="0">
      <alignment horizontal="center" vertical="center"/>
    </xf>
    <xf numFmtId="184" fontId="39" fillId="44" borderId="51" applyNumberFormat="0">
      <alignment horizontal="center" vertical="center"/>
    </xf>
    <xf numFmtId="184" fontId="39" fillId="44" borderId="52" applyNumberFormat="0">
      <alignment horizontal="center" vertical="center"/>
    </xf>
    <xf numFmtId="184" fontId="39" fillId="40" borderId="52" applyNumberFormat="0">
      <alignment horizontal="center" vertical="center"/>
    </xf>
    <xf numFmtId="184" fontId="39" fillId="41" borderId="49" applyNumberFormat="0">
      <alignment horizontal="left" vertical="center"/>
    </xf>
    <xf numFmtId="184" fontId="39" fillId="41" borderId="50" applyNumberFormat="0">
      <alignment horizontal="center" vertical="center"/>
    </xf>
    <xf numFmtId="184" fontId="39" fillId="41" borderId="51" applyNumberFormat="0">
      <alignment horizontal="center" vertical="center"/>
    </xf>
    <xf numFmtId="184" fontId="39" fillId="41" borderId="52" applyNumberFormat="0">
      <alignment horizontal="center" vertical="center"/>
    </xf>
    <xf numFmtId="184" fontId="39" fillId="44" borderId="49" applyNumberFormat="0">
      <alignment horizontal="left" vertical="center"/>
    </xf>
    <xf numFmtId="184" fontId="39" fillId="44" borderId="50" applyNumberFormat="0">
      <alignment horizontal="center" vertical="center"/>
    </xf>
    <xf numFmtId="184" fontId="39" fillId="44" borderId="51" applyNumberFormat="0">
      <alignment horizontal="center" vertical="center"/>
    </xf>
    <xf numFmtId="184" fontId="39" fillId="44" borderId="52" applyNumberFormat="0">
      <alignment horizontal="center" vertical="center"/>
    </xf>
    <xf numFmtId="184" fontId="39" fillId="40" borderId="52" applyNumberFormat="0">
      <alignment horizontal="center" vertical="center"/>
    </xf>
    <xf numFmtId="184" fontId="39" fillId="41" borderId="50" applyNumberFormat="0" applyFont="0"/>
    <xf numFmtId="184" fontId="39" fillId="39" borderId="50" applyNumberFormat="0" applyFont="0"/>
    <xf numFmtId="184" fontId="49" fillId="43" borderId="0" applyNumberFormat="0" applyBorder="0" applyAlignment="0" applyProtection="0"/>
    <xf numFmtId="184" fontId="49" fillId="43" borderId="0" applyNumberFormat="0" applyBorder="0" applyAlignment="0" applyProtection="0"/>
    <xf numFmtId="184" fontId="49" fillId="43" borderId="0" applyNumberFormat="0" applyBorder="0" applyAlignment="0" applyProtection="0"/>
    <xf numFmtId="184" fontId="42" fillId="42" borderId="0" applyNumberFormat="0" applyBorder="0">
      <alignment horizontal="center" wrapText="1"/>
    </xf>
    <xf numFmtId="184" fontId="42" fillId="42" borderId="0" applyNumberFormat="0" applyBorder="0">
      <alignment horizontal="center" wrapText="1"/>
    </xf>
    <xf numFmtId="184" fontId="39" fillId="41" borderId="49" applyNumberFormat="0"/>
    <xf numFmtId="184" fontId="39" fillId="41" borderId="50" applyNumberFormat="0"/>
    <xf numFmtId="184" fontId="39" fillId="41" borderId="51" applyNumberFormat="0"/>
    <xf numFmtId="184" fontId="39" fillId="41" borderId="52" applyNumberFormat="0"/>
    <xf numFmtId="184" fontId="39" fillId="39" borderId="49" applyNumberFormat="0"/>
    <xf numFmtId="184" fontId="39" fillId="39" borderId="50" applyNumberFormat="0"/>
    <xf numFmtId="184" fontId="39" fillId="39" borderId="51" applyNumberFormat="0"/>
    <xf numFmtId="184" fontId="39" fillId="39" borderId="52" applyNumberFormat="0"/>
    <xf numFmtId="184" fontId="39" fillId="41" borderId="49" applyNumberFormat="0"/>
    <xf numFmtId="184" fontId="39" fillId="41" borderId="50" applyNumberFormat="0"/>
    <xf numFmtId="184" fontId="39" fillId="41" borderId="51" applyNumberFormat="0"/>
    <xf numFmtId="184" fontId="39" fillId="41" borderId="52" applyNumberFormat="0"/>
    <xf numFmtId="184" fontId="39" fillId="44" borderId="49" applyNumberFormat="0"/>
    <xf numFmtId="184" fontId="39" fillId="44" borderId="50" applyNumberFormat="0"/>
    <xf numFmtId="184" fontId="39" fillId="44" borderId="51" applyNumberFormat="0"/>
    <xf numFmtId="184" fontId="39" fillId="44" borderId="52" applyNumberFormat="0"/>
    <xf numFmtId="184" fontId="42" fillId="42" borderId="0" applyNumberFormat="0" applyBorder="0">
      <alignment horizontal="center" wrapText="1"/>
    </xf>
    <xf numFmtId="184" fontId="39" fillId="41" borderId="49" applyNumberFormat="0">
      <alignment horizontal="left"/>
    </xf>
    <xf numFmtId="184" fontId="39" fillId="41" borderId="50" applyNumberFormat="0"/>
    <xf numFmtId="184" fontId="39" fillId="41" borderId="51" applyNumberFormat="0"/>
    <xf numFmtId="184" fontId="39" fillId="41" borderId="52" applyNumberFormat="0"/>
    <xf numFmtId="184" fontId="39" fillId="44" borderId="49" applyNumberFormat="0">
      <alignment horizontal="left"/>
    </xf>
    <xf numFmtId="184" fontId="39" fillId="44" borderId="50" applyNumberFormat="0"/>
    <xf numFmtId="184" fontId="39" fillId="44" borderId="51" applyNumberFormat="0"/>
    <xf numFmtId="184" fontId="39" fillId="44" borderId="52" applyNumberFormat="0"/>
    <xf numFmtId="184" fontId="42" fillId="42" borderId="0" applyNumberFormat="0" applyBorder="0" applyProtection="0">
      <alignment horizontal="center" wrapText="1"/>
    </xf>
    <xf numFmtId="184" fontId="42" fillId="42" borderId="0" applyNumberFormat="0" applyBorder="0">
      <alignment horizontal="center" wrapText="1"/>
    </xf>
    <xf numFmtId="184" fontId="39" fillId="41" borderId="49" applyNumberFormat="0" applyFont="0" applyProtection="0">
      <alignment horizontal="left"/>
    </xf>
    <xf numFmtId="184" fontId="39" fillId="41" borderId="50" applyNumberFormat="0" applyFont="0" applyAlignment="0" applyProtection="0"/>
    <xf numFmtId="184" fontId="39" fillId="41" borderId="51" applyNumberFormat="0" applyFont="0" applyAlignment="0" applyProtection="0"/>
    <xf numFmtId="184" fontId="39" fillId="41" borderId="52" applyNumberFormat="0" applyFont="0" applyAlignment="0" applyProtection="0"/>
    <xf numFmtId="184" fontId="39" fillId="39" borderId="49" applyNumberFormat="0" applyFont="0" applyProtection="0">
      <alignment horizontal="left"/>
    </xf>
    <xf numFmtId="184" fontId="39" fillId="39" borderId="50" applyNumberFormat="0" applyFont="0" applyAlignment="0" applyProtection="0"/>
    <xf numFmtId="184" fontId="39" fillId="39" borderId="51" applyNumberFormat="0" applyFont="0" applyAlignment="0" applyProtection="0"/>
    <xf numFmtId="184" fontId="39" fillId="39" borderId="52" applyNumberFormat="0" applyFont="0" applyAlignment="0" applyProtection="0"/>
    <xf numFmtId="184" fontId="39" fillId="40" borderId="52" applyNumberFormat="0" applyFont="0" applyProtection="0">
      <alignment horizontal="center" vertical="center"/>
    </xf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43" fillId="41" borderId="0" applyNumberFormat="0" applyAlignment="0" applyProtection="0"/>
    <xf numFmtId="184" fontId="42" fillId="42" borderId="0" applyNumberFormat="0" applyBorder="0" applyProtection="0">
      <alignment horizontal="center" wrapText="1"/>
    </xf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43" fillId="41" borderId="0" applyNumberFormat="0"/>
    <xf numFmtId="184" fontId="39" fillId="41" borderId="49" applyNumberFormat="0">
      <alignment horizontal="left" vertical="center"/>
    </xf>
    <xf numFmtId="184" fontId="39" fillId="41" borderId="50" applyNumberFormat="0">
      <alignment horizontal="center" vertical="center"/>
    </xf>
    <xf numFmtId="184" fontId="39" fillId="41" borderId="51" applyNumberFormat="0">
      <alignment horizontal="center" vertical="center"/>
    </xf>
    <xf numFmtId="184" fontId="39" fillId="41" borderId="52" applyNumberFormat="0">
      <alignment horizontal="center" vertical="center"/>
    </xf>
    <xf numFmtId="184" fontId="39" fillId="44" borderId="49" applyNumberFormat="0">
      <alignment horizontal="left" vertical="center"/>
    </xf>
    <xf numFmtId="184" fontId="39" fillId="44" borderId="50" applyNumberFormat="0">
      <alignment horizontal="center" vertical="center"/>
    </xf>
    <xf numFmtId="184" fontId="39" fillId="44" borderId="51" applyNumberFormat="0">
      <alignment horizontal="center" vertical="center"/>
    </xf>
    <xf numFmtId="184" fontId="39" fillId="44" borderId="52" applyNumberFormat="0">
      <alignment horizontal="center" vertical="center"/>
    </xf>
    <xf numFmtId="184" fontId="39" fillId="40" borderId="52" applyNumberFormat="0">
      <alignment horizontal="center" vertical="center"/>
    </xf>
    <xf numFmtId="184" fontId="42" fillId="42" borderId="0" applyNumberFormat="0" applyBorder="0">
      <alignment horizontal="center" wrapText="1"/>
    </xf>
    <xf numFmtId="184" fontId="39" fillId="41" borderId="49" applyNumberFormat="0" applyFont="0" applyProtection="0">
      <alignment horizontal="left"/>
    </xf>
    <xf numFmtId="184" fontId="39" fillId="41" borderId="50" applyNumberFormat="0" applyFont="0" applyAlignment="0" applyProtection="0"/>
    <xf numFmtId="184" fontId="39" fillId="41" borderId="51" applyNumberFormat="0" applyFont="0" applyAlignment="0" applyProtection="0"/>
    <xf numFmtId="184" fontId="39" fillId="41" borderId="52" applyNumberFormat="0" applyFont="0" applyAlignment="0" applyProtection="0"/>
    <xf numFmtId="184" fontId="50" fillId="0" borderId="0"/>
    <xf numFmtId="184" fontId="50" fillId="0" borderId="0"/>
    <xf numFmtId="170" fontId="50" fillId="0" borderId="0" applyBorder="0"/>
    <xf numFmtId="168" fontId="50" fillId="0" borderId="0" applyBorder="0"/>
    <xf numFmtId="169" fontId="50" fillId="0" borderId="0" applyBorder="0"/>
    <xf numFmtId="167" fontId="50" fillId="0" borderId="0" applyBorder="0"/>
    <xf numFmtId="184" fontId="51" fillId="0" borderId="0" applyNumberFormat="0" applyBorder="0"/>
    <xf numFmtId="184" fontId="52" fillId="0" borderId="0" applyNumberFormat="0" applyBorder="0"/>
    <xf numFmtId="9" fontId="50" fillId="0" borderId="0" applyBorder="0"/>
    <xf numFmtId="184" fontId="51" fillId="0" borderId="0" applyNumberFormat="0" applyBorder="0"/>
    <xf numFmtId="184" fontId="52" fillId="0" borderId="0" applyNumberFormat="0" applyBorder="0"/>
    <xf numFmtId="9" fontId="50" fillId="0" borderId="0" applyBorder="0"/>
    <xf numFmtId="184" fontId="51" fillId="0" borderId="0" applyNumberFormat="0" applyBorder="0"/>
    <xf numFmtId="184" fontId="52" fillId="0" borderId="0" applyNumberFormat="0" applyBorder="0"/>
    <xf numFmtId="9" fontId="50" fillId="0" borderId="0" applyBorder="0"/>
    <xf numFmtId="184" fontId="51" fillId="0" borderId="0" applyNumberFormat="0" applyBorder="0"/>
    <xf numFmtId="184" fontId="52" fillId="0" borderId="0" applyNumberFormat="0" applyBorder="0"/>
    <xf numFmtId="9" fontId="50" fillId="0" borderId="0" applyBorder="0"/>
    <xf numFmtId="184" fontId="51" fillId="0" borderId="0" applyNumberFormat="0" applyBorder="0"/>
    <xf numFmtId="184" fontId="51" fillId="0" borderId="0" applyNumberFormat="0" applyBorder="0" applyAlignment="0" applyProtection="0"/>
    <xf numFmtId="184" fontId="52" fillId="0" borderId="0" applyNumberFormat="0" applyBorder="0" applyAlignment="0" applyProtection="0"/>
    <xf numFmtId="9" fontId="50" fillId="0" borderId="0" applyBorder="0"/>
    <xf numFmtId="184" fontId="52" fillId="0" borderId="0" applyNumberFormat="0" applyBorder="0"/>
    <xf numFmtId="9" fontId="50" fillId="0" borderId="0" applyBorder="0"/>
    <xf numFmtId="9" fontId="50" fillId="0" borderId="0" applyBorder="0"/>
    <xf numFmtId="184" fontId="56" fillId="0" borderId="0" applyNumberFormat="0" applyBorder="0" applyAlignment="0" applyProtection="0"/>
    <xf numFmtId="184" fontId="57" fillId="0" borderId="0" applyNumberFormat="0" applyBorder="0" applyAlignment="0" applyProtection="0"/>
    <xf numFmtId="9" fontId="50" fillId="0" borderId="0" applyFont="0" applyBorder="0"/>
    <xf numFmtId="9" fontId="50" fillId="0" borderId="0" applyFont="0" applyBorder="0"/>
    <xf numFmtId="184" fontId="50" fillId="39" borderId="49" applyNumberFormat="0" applyFont="0" applyProtection="0">
      <alignment horizontal="left"/>
    </xf>
    <xf numFmtId="184" fontId="50" fillId="39" borderId="50" applyNumberFormat="0" applyFont="0" applyAlignment="0" applyProtection="0"/>
    <xf numFmtId="184" fontId="50" fillId="39" borderId="51" applyNumberFormat="0" applyFont="0" applyAlignment="0" applyProtection="0"/>
    <xf numFmtId="184" fontId="50" fillId="39" borderId="52" applyNumberFormat="0" applyFont="0" applyAlignment="0" applyProtection="0"/>
    <xf numFmtId="184" fontId="50" fillId="40" borderId="52" applyNumberFormat="0" applyFont="0" applyProtection="0">
      <alignment horizontal="center" vertical="center"/>
    </xf>
    <xf numFmtId="184" fontId="54" fillId="41" borderId="0" applyNumberFormat="0" applyAlignment="0" applyProtection="0"/>
    <xf numFmtId="184" fontId="53" fillId="42" borderId="0" applyNumberFormat="0" applyBorder="0" applyProtection="0">
      <alignment horizontal="center" wrapText="1"/>
    </xf>
    <xf numFmtId="184" fontId="53" fillId="42" borderId="0" applyNumberFormat="0" applyBorder="0" applyProtection="0">
      <alignment horizontal="center" wrapText="1"/>
    </xf>
    <xf numFmtId="184" fontId="54" fillId="41" borderId="0" applyNumberFormat="0"/>
    <xf numFmtId="184" fontId="50" fillId="41" borderId="49" applyNumberFormat="0">
      <alignment horizontal="left" vertical="center"/>
    </xf>
    <xf numFmtId="184" fontId="50" fillId="41" borderId="50" applyNumberFormat="0">
      <alignment horizontal="center" vertical="center"/>
    </xf>
    <xf numFmtId="184" fontId="50" fillId="41" borderId="51" applyNumberFormat="0">
      <alignment horizontal="center" vertical="center"/>
    </xf>
    <xf numFmtId="184" fontId="50" fillId="41" borderId="49" applyNumberFormat="0" applyFont="0" applyProtection="0">
      <alignment horizontal="left"/>
    </xf>
    <xf numFmtId="184" fontId="50" fillId="41" borderId="50" applyNumberFormat="0" applyFont="0" applyAlignment="0" applyProtection="0"/>
    <xf numFmtId="184" fontId="50" fillId="41" borderId="51" applyNumberFormat="0" applyFont="0" applyAlignment="0" applyProtection="0"/>
    <xf numFmtId="184" fontId="50" fillId="41" borderId="52" applyNumberFormat="0" applyFont="0" applyAlignment="0" applyProtection="0"/>
    <xf numFmtId="184" fontId="50" fillId="39" borderId="49" applyNumberFormat="0" applyFont="0" applyProtection="0">
      <alignment horizontal="left"/>
    </xf>
    <xf numFmtId="184" fontId="50" fillId="39" borderId="50" applyNumberFormat="0" applyFont="0" applyAlignment="0" applyProtection="0"/>
    <xf numFmtId="184" fontId="50" fillId="39" borderId="51" applyNumberFormat="0" applyFont="0" applyAlignment="0" applyProtection="0"/>
    <xf numFmtId="184" fontId="50" fillId="39" borderId="52" applyNumberFormat="0" applyFont="0" applyAlignment="0" applyProtection="0"/>
    <xf numFmtId="184" fontId="50" fillId="40" borderId="52" applyNumberFormat="0" applyFont="0" applyProtection="0">
      <alignment horizontal="center" vertical="center"/>
    </xf>
    <xf numFmtId="184" fontId="55" fillId="39" borderId="52" applyNumberFormat="0" applyProtection="0">
      <alignment horizontal="center" vertical="center"/>
    </xf>
    <xf numFmtId="184" fontId="54" fillId="43" borderId="0" applyNumberFormat="0" applyBorder="0" applyAlignment="0" applyProtection="0"/>
    <xf numFmtId="184" fontId="58" fillId="43" borderId="0" applyNumberFormat="0" applyBorder="0" applyProtection="0">
      <alignment horizontal="center"/>
    </xf>
    <xf numFmtId="184" fontId="54" fillId="41" borderId="0" applyNumberFormat="0" applyAlignment="0" applyProtection="0"/>
    <xf numFmtId="184" fontId="50" fillId="41" borderId="49" applyNumberFormat="0">
      <alignment horizontal="left" vertical="center"/>
    </xf>
    <xf numFmtId="184" fontId="50" fillId="41" borderId="50" applyNumberFormat="0">
      <alignment horizontal="center" vertical="center"/>
    </xf>
    <xf numFmtId="184" fontId="50" fillId="41" borderId="51" applyNumberFormat="0">
      <alignment horizontal="center" vertical="center"/>
    </xf>
    <xf numFmtId="184" fontId="50" fillId="41" borderId="52" applyNumberFormat="0">
      <alignment horizontal="center" vertical="center"/>
    </xf>
    <xf numFmtId="184" fontId="50" fillId="44" borderId="49" applyNumberFormat="0">
      <alignment horizontal="left" vertical="center"/>
    </xf>
    <xf numFmtId="184" fontId="50" fillId="44" borderId="50" applyNumberFormat="0">
      <alignment horizontal="center" vertical="center"/>
    </xf>
    <xf numFmtId="184" fontId="50" fillId="44" borderId="51" applyNumberFormat="0">
      <alignment horizontal="center" vertical="center"/>
    </xf>
    <xf numFmtId="184" fontId="50" fillId="44" borderId="52" applyNumberFormat="0">
      <alignment horizontal="center" vertical="center"/>
    </xf>
    <xf numFmtId="184" fontId="50" fillId="40" borderId="52" applyNumberFormat="0">
      <alignment horizontal="center" vertical="center"/>
    </xf>
    <xf numFmtId="184" fontId="54" fillId="41" borderId="0" applyNumberFormat="0" applyAlignment="0" applyProtection="0"/>
    <xf numFmtId="184" fontId="59" fillId="45" borderId="0" applyNumberFormat="0" applyBorder="0" applyAlignment="0" applyProtection="0"/>
    <xf numFmtId="184" fontId="50" fillId="41" borderId="53" applyNumberFormat="0" applyFont="0" applyProtection="0">
      <alignment horizontal="left" vertical="center"/>
    </xf>
    <xf numFmtId="184" fontId="50" fillId="41" borderId="53" applyNumberFormat="0" applyFont="0" applyProtection="0">
      <alignment horizontal="left" vertical="center"/>
    </xf>
    <xf numFmtId="184" fontId="50" fillId="41" borderId="54" applyNumberFormat="0" applyProtection="0">
      <alignment horizontal="center" vertical="center"/>
    </xf>
    <xf numFmtId="184" fontId="50" fillId="41" borderId="54" applyNumberFormat="0" applyProtection="0">
      <alignment horizontal="center" vertical="center"/>
    </xf>
    <xf numFmtId="184" fontId="50" fillId="41" borderId="55" applyNumberFormat="0" applyProtection="0">
      <alignment horizontal="center" vertical="center"/>
    </xf>
    <xf numFmtId="184" fontId="50" fillId="41" borderId="55" applyNumberFormat="0" applyProtection="0">
      <alignment horizontal="center" vertical="center"/>
    </xf>
    <xf numFmtId="184" fontId="50" fillId="41" borderId="56" applyNumberFormat="0" applyProtection="0">
      <alignment horizontal="center" vertical="center"/>
    </xf>
    <xf numFmtId="184" fontId="50" fillId="41" borderId="56" applyNumberFormat="0" applyProtection="0">
      <alignment horizontal="center" vertical="center"/>
    </xf>
    <xf numFmtId="184" fontId="50" fillId="46" borderId="53" applyNumberFormat="0" applyFont="0" applyProtection="0">
      <alignment horizontal="left" vertical="center"/>
    </xf>
    <xf numFmtId="184" fontId="50" fillId="46" borderId="53" applyNumberFormat="0" applyFont="0" applyProtection="0">
      <alignment horizontal="left" vertical="center"/>
    </xf>
    <xf numFmtId="184" fontId="50" fillId="46" borderId="54" applyNumberFormat="0" applyFont="0" applyProtection="0">
      <alignment horizontal="center" vertical="center"/>
    </xf>
    <xf numFmtId="184" fontId="50" fillId="46" borderId="54" applyNumberFormat="0" applyFont="0" applyProtection="0">
      <alignment horizontal="center" vertical="center"/>
    </xf>
    <xf numFmtId="184" fontId="50" fillId="46" borderId="55" applyNumberFormat="0" applyFont="0" applyProtection="0">
      <alignment horizontal="center" vertical="center"/>
    </xf>
    <xf numFmtId="184" fontId="50" fillId="46" borderId="55" applyNumberFormat="0" applyFont="0" applyProtection="0">
      <alignment horizontal="center" vertical="center"/>
    </xf>
    <xf numFmtId="184" fontId="50" fillId="46" borderId="56" applyNumberFormat="0" applyFont="0" applyProtection="0">
      <alignment horizontal="center" vertical="center"/>
    </xf>
    <xf numFmtId="184" fontId="50" fillId="46" borderId="56" applyNumberFormat="0" applyFont="0" applyProtection="0">
      <alignment horizontal="center" vertical="center"/>
    </xf>
    <xf numFmtId="184" fontId="50" fillId="45" borderId="56" applyNumberFormat="0" applyFont="0" applyProtection="0">
      <alignment horizontal="center" vertical="center"/>
    </xf>
    <xf numFmtId="184" fontId="50" fillId="45" borderId="56" applyNumberFormat="0" applyFont="0" applyProtection="0">
      <alignment horizontal="center" vertical="center"/>
    </xf>
    <xf numFmtId="184" fontId="55" fillId="41" borderId="56" applyNumberFormat="0" applyProtection="0">
      <alignment horizontal="center" vertical="center"/>
    </xf>
    <xf numFmtId="184" fontId="55" fillId="46" borderId="56" applyNumberFormat="0" applyProtection="0">
      <alignment horizontal="center" vertical="center"/>
    </xf>
    <xf numFmtId="184" fontId="53" fillId="42" borderId="0" applyNumberFormat="0" applyBorder="0" applyProtection="0">
      <alignment horizontal="center" wrapText="1"/>
    </xf>
    <xf numFmtId="184" fontId="50" fillId="41" borderId="49" applyNumberFormat="0">
      <alignment horizontal="left" vertical="center"/>
    </xf>
    <xf numFmtId="184" fontId="50" fillId="41" borderId="50" applyNumberFormat="0">
      <alignment horizontal="center" vertical="center"/>
    </xf>
    <xf numFmtId="184" fontId="50" fillId="41" borderId="51" applyNumberFormat="0">
      <alignment horizontal="center" vertical="center"/>
    </xf>
    <xf numFmtId="184" fontId="50" fillId="41" borderId="52" applyNumberFormat="0">
      <alignment horizontal="center" vertical="center"/>
    </xf>
    <xf numFmtId="184" fontId="50" fillId="44" borderId="49" applyNumberFormat="0">
      <alignment horizontal="left" vertical="center"/>
    </xf>
    <xf numFmtId="184" fontId="50" fillId="44" borderId="50" applyNumberFormat="0">
      <alignment horizontal="center" vertical="center"/>
    </xf>
    <xf numFmtId="184" fontId="50" fillId="44" borderId="51" applyNumberFormat="0">
      <alignment horizontal="center" vertical="center"/>
    </xf>
    <xf numFmtId="184" fontId="50" fillId="44" borderId="52" applyNumberFormat="0">
      <alignment horizontal="center" vertical="center"/>
    </xf>
    <xf numFmtId="184" fontId="50" fillId="40" borderId="52" applyNumberFormat="0">
      <alignment horizontal="center" vertical="center"/>
    </xf>
    <xf numFmtId="184" fontId="50" fillId="41" borderId="49" applyNumberFormat="0" applyFont="0" applyProtection="0">
      <alignment horizontal="left" vertical="center"/>
    </xf>
    <xf numFmtId="184" fontId="50" fillId="41" borderId="49" applyNumberFormat="0" applyFont="0" applyProtection="0">
      <alignment horizontal="left" vertical="center"/>
    </xf>
    <xf numFmtId="184" fontId="50" fillId="41" borderId="50" applyNumberFormat="0" applyProtection="0">
      <alignment horizontal="center" vertical="center"/>
    </xf>
    <xf numFmtId="184" fontId="50" fillId="41" borderId="50" applyNumberFormat="0" applyProtection="0">
      <alignment horizontal="center" vertical="center"/>
    </xf>
    <xf numFmtId="184" fontId="50" fillId="41" borderId="51" applyNumberFormat="0" applyProtection="0">
      <alignment horizontal="center" vertical="center"/>
    </xf>
    <xf numFmtId="184" fontId="50" fillId="41" borderId="51" applyNumberFormat="0" applyProtection="0">
      <alignment horizontal="center" vertical="center"/>
    </xf>
    <xf numFmtId="184" fontId="50" fillId="41" borderId="52" applyNumberFormat="0" applyProtection="0">
      <alignment horizontal="center" vertical="center"/>
    </xf>
    <xf numFmtId="184" fontId="50" fillId="41" borderId="52" applyNumberFormat="0" applyProtection="0">
      <alignment horizontal="center" vertical="center"/>
    </xf>
    <xf numFmtId="184" fontId="50" fillId="39" borderId="49" applyNumberFormat="0" applyFont="0" applyProtection="0">
      <alignment horizontal="left" vertical="center"/>
    </xf>
    <xf numFmtId="184" fontId="50" fillId="39" borderId="49" applyNumberFormat="0" applyFont="0" applyProtection="0">
      <alignment horizontal="left" vertical="center"/>
    </xf>
    <xf numFmtId="184" fontId="50" fillId="39" borderId="50" applyNumberFormat="0" applyProtection="0">
      <alignment horizontal="center" vertical="center"/>
    </xf>
    <xf numFmtId="184" fontId="50" fillId="39" borderId="50" applyNumberFormat="0" applyProtection="0">
      <alignment horizontal="center" vertical="center"/>
    </xf>
    <xf numFmtId="184" fontId="50" fillId="39" borderId="51" applyNumberFormat="0" applyProtection="0">
      <alignment horizontal="center" vertical="center"/>
    </xf>
    <xf numFmtId="184" fontId="50" fillId="39" borderId="51" applyNumberFormat="0" applyProtection="0">
      <alignment horizontal="center" vertical="center"/>
    </xf>
    <xf numFmtId="184" fontId="50" fillId="39" borderId="52" applyNumberFormat="0" applyProtection="0">
      <alignment horizontal="center" vertical="center"/>
    </xf>
    <xf numFmtId="184" fontId="50" fillId="39" borderId="52" applyNumberFormat="0" applyProtection="0">
      <alignment horizontal="center" vertical="center"/>
    </xf>
    <xf numFmtId="184" fontId="50" fillId="40" borderId="52" applyNumberFormat="0" applyFont="0" applyProtection="0">
      <alignment horizontal="center" vertical="center"/>
    </xf>
    <xf numFmtId="184" fontId="50" fillId="40" borderId="52" applyNumberFormat="0" applyFont="0" applyProtection="0">
      <alignment horizontal="center" vertical="center"/>
    </xf>
    <xf numFmtId="184" fontId="55" fillId="41" borderId="52" applyNumberFormat="0" applyProtection="0">
      <alignment horizontal="center" vertical="center"/>
    </xf>
    <xf numFmtId="184" fontId="55" fillId="39" borderId="52" applyNumberFormat="0" applyProtection="0">
      <alignment horizontal="center" vertical="center"/>
    </xf>
    <xf numFmtId="184" fontId="53" fillId="42" borderId="0" applyNumberFormat="0" applyBorder="0">
      <alignment horizontal="center" wrapText="1"/>
    </xf>
    <xf numFmtId="184" fontId="54" fillId="41" borderId="0" applyNumberFormat="0"/>
    <xf numFmtId="184" fontId="50" fillId="41" borderId="49" applyNumberFormat="0">
      <alignment horizontal="left" vertical="center"/>
    </xf>
    <xf numFmtId="184" fontId="50" fillId="41" borderId="50" applyNumberFormat="0">
      <alignment horizontal="center" vertical="center"/>
    </xf>
    <xf numFmtId="184" fontId="50" fillId="41" borderId="51" applyNumberFormat="0">
      <alignment horizontal="center" vertical="center"/>
    </xf>
    <xf numFmtId="184" fontId="50" fillId="41" borderId="52" applyNumberFormat="0">
      <alignment horizontal="center" vertical="center"/>
    </xf>
    <xf numFmtId="184" fontId="50" fillId="44" borderId="49" applyNumberFormat="0">
      <alignment horizontal="left" vertical="center"/>
    </xf>
    <xf numFmtId="184" fontId="50" fillId="44" borderId="50" applyNumberFormat="0">
      <alignment horizontal="center" vertical="center"/>
    </xf>
    <xf numFmtId="184" fontId="50" fillId="44" borderId="51" applyNumberFormat="0">
      <alignment horizontal="center" vertical="center"/>
    </xf>
    <xf numFmtId="184" fontId="50" fillId="44" borderId="52" applyNumberFormat="0">
      <alignment horizontal="center" vertical="center"/>
    </xf>
    <xf numFmtId="184" fontId="50" fillId="40" borderId="52" applyNumberFormat="0">
      <alignment horizontal="center" vertical="center"/>
    </xf>
    <xf numFmtId="184" fontId="50" fillId="41" borderId="49" applyNumberFormat="0">
      <alignment horizontal="left" vertical="center"/>
    </xf>
    <xf numFmtId="184" fontId="50" fillId="41" borderId="50" applyNumberFormat="0">
      <alignment horizontal="center" vertical="center"/>
    </xf>
    <xf numFmtId="184" fontId="50" fillId="41" borderId="51" applyNumberFormat="0">
      <alignment horizontal="center" vertical="center"/>
    </xf>
    <xf numFmtId="184" fontId="50" fillId="41" borderId="52" applyNumberFormat="0">
      <alignment horizontal="center" vertical="center"/>
    </xf>
    <xf numFmtId="184" fontId="50" fillId="44" borderId="49" applyNumberFormat="0">
      <alignment horizontal="left" vertical="center"/>
    </xf>
    <xf numFmtId="184" fontId="50" fillId="44" borderId="50" applyNumberFormat="0">
      <alignment horizontal="center" vertical="center"/>
    </xf>
    <xf numFmtId="184" fontId="50" fillId="44" borderId="51" applyNumberFormat="0">
      <alignment horizontal="center" vertical="center"/>
    </xf>
    <xf numFmtId="184" fontId="50" fillId="44" borderId="52" applyNumberFormat="0">
      <alignment horizontal="center" vertical="center"/>
    </xf>
    <xf numFmtId="184" fontId="50" fillId="40" borderId="52" applyNumberFormat="0">
      <alignment horizontal="center" vertical="center"/>
    </xf>
    <xf numFmtId="184" fontId="50" fillId="41" borderId="50" applyNumberFormat="0" applyFont="0"/>
    <xf numFmtId="184" fontId="50" fillId="39" borderId="50" applyNumberFormat="0" applyFont="0"/>
    <xf numFmtId="184" fontId="60" fillId="43" borderId="0" applyNumberFormat="0" applyBorder="0" applyAlignment="0" applyProtection="0"/>
    <xf numFmtId="184" fontId="60" fillId="43" borderId="0" applyNumberFormat="0" applyBorder="0" applyAlignment="0" applyProtection="0"/>
    <xf numFmtId="184" fontId="60" fillId="43" borderId="0" applyNumberFormat="0" applyBorder="0" applyAlignment="0" applyProtection="0"/>
    <xf numFmtId="184" fontId="53" fillId="42" borderId="0" applyNumberFormat="0" applyBorder="0">
      <alignment horizontal="center" wrapText="1"/>
    </xf>
    <xf numFmtId="184" fontId="53" fillId="42" borderId="0" applyNumberFormat="0" applyBorder="0">
      <alignment horizontal="center" wrapText="1"/>
    </xf>
    <xf numFmtId="184" fontId="50" fillId="41" borderId="49" applyNumberFormat="0"/>
    <xf numFmtId="184" fontId="50" fillId="41" borderId="50" applyNumberFormat="0"/>
    <xf numFmtId="184" fontId="50" fillId="41" borderId="51" applyNumberFormat="0"/>
    <xf numFmtId="184" fontId="50" fillId="41" borderId="52" applyNumberFormat="0"/>
    <xf numFmtId="184" fontId="50" fillId="39" borderId="49" applyNumberFormat="0"/>
    <xf numFmtId="184" fontId="50" fillId="39" borderId="50" applyNumberFormat="0"/>
    <xf numFmtId="184" fontId="50" fillId="39" borderId="51" applyNumberFormat="0"/>
    <xf numFmtId="184" fontId="50" fillId="39" borderId="52" applyNumberFormat="0"/>
    <xf numFmtId="184" fontId="50" fillId="41" borderId="49" applyNumberFormat="0"/>
    <xf numFmtId="184" fontId="50" fillId="41" borderId="50" applyNumberFormat="0"/>
    <xf numFmtId="184" fontId="50" fillId="41" borderId="51" applyNumberFormat="0"/>
    <xf numFmtId="184" fontId="50" fillId="41" borderId="52" applyNumberFormat="0"/>
    <xf numFmtId="184" fontId="50" fillId="44" borderId="49" applyNumberFormat="0"/>
    <xf numFmtId="184" fontId="50" fillId="44" borderId="50" applyNumberFormat="0"/>
    <xf numFmtId="184" fontId="50" fillId="44" borderId="51" applyNumberFormat="0"/>
    <xf numFmtId="184" fontId="50" fillId="44" borderId="52" applyNumberFormat="0"/>
    <xf numFmtId="184" fontId="53" fillId="42" borderId="0" applyNumberFormat="0" applyBorder="0">
      <alignment horizontal="center" wrapText="1"/>
    </xf>
    <xf numFmtId="184" fontId="50" fillId="41" borderId="49" applyNumberFormat="0">
      <alignment horizontal="left"/>
    </xf>
    <xf numFmtId="184" fontId="50" fillId="41" borderId="50" applyNumberFormat="0"/>
    <xf numFmtId="184" fontId="50" fillId="41" borderId="51" applyNumberFormat="0"/>
    <xf numFmtId="184" fontId="50" fillId="41" borderId="52" applyNumberFormat="0"/>
    <xf numFmtId="184" fontId="50" fillId="44" borderId="49" applyNumberFormat="0">
      <alignment horizontal="left"/>
    </xf>
    <xf numFmtId="184" fontId="50" fillId="44" borderId="50" applyNumberFormat="0"/>
    <xf numFmtId="184" fontId="50" fillId="44" borderId="51" applyNumberFormat="0"/>
    <xf numFmtId="184" fontId="50" fillId="44" borderId="52" applyNumberFormat="0"/>
    <xf numFmtId="184" fontId="53" fillId="42" borderId="0" applyNumberFormat="0" applyBorder="0" applyProtection="0">
      <alignment horizontal="center" wrapText="1"/>
    </xf>
    <xf numFmtId="184" fontId="53" fillId="42" borderId="0" applyNumberFormat="0" applyBorder="0">
      <alignment horizontal="center" wrapText="1"/>
    </xf>
    <xf numFmtId="184" fontId="50" fillId="41" borderId="49" applyNumberFormat="0" applyFont="0" applyProtection="0">
      <alignment horizontal="left"/>
    </xf>
    <xf numFmtId="184" fontId="50" fillId="41" borderId="50" applyNumberFormat="0" applyFont="0" applyAlignment="0" applyProtection="0"/>
    <xf numFmtId="184" fontId="50" fillId="41" borderId="51" applyNumberFormat="0" applyFont="0" applyAlignment="0" applyProtection="0"/>
    <xf numFmtId="184" fontId="50" fillId="41" borderId="52" applyNumberFormat="0" applyFont="0" applyAlignment="0" applyProtection="0"/>
    <xf numFmtId="184" fontId="50" fillId="39" borderId="49" applyNumberFormat="0" applyFont="0" applyProtection="0">
      <alignment horizontal="left"/>
    </xf>
    <xf numFmtId="184" fontId="50" fillId="39" borderId="50" applyNumberFormat="0" applyFont="0" applyAlignment="0" applyProtection="0"/>
    <xf numFmtId="184" fontId="50" fillId="39" borderId="51" applyNumberFormat="0" applyFont="0" applyAlignment="0" applyProtection="0"/>
    <xf numFmtId="184" fontId="50" fillId="39" borderId="52" applyNumberFormat="0" applyFont="0" applyAlignment="0" applyProtection="0"/>
    <xf numFmtId="184" fontId="50" fillId="40" borderId="52" applyNumberFormat="0" applyFont="0" applyProtection="0">
      <alignment horizontal="center" vertical="center"/>
    </xf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4" fillId="41" borderId="0" applyNumberFormat="0" applyAlignment="0" applyProtection="0"/>
    <xf numFmtId="184" fontId="53" fillId="42" borderId="0" applyNumberFormat="0" applyBorder="0" applyProtection="0">
      <alignment horizontal="center" wrapText="1"/>
    </xf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4" fillId="41" borderId="0" applyNumberFormat="0"/>
    <xf numFmtId="184" fontId="50" fillId="41" borderId="49" applyNumberFormat="0">
      <alignment horizontal="left" vertical="center"/>
    </xf>
    <xf numFmtId="184" fontId="50" fillId="41" borderId="50" applyNumberFormat="0">
      <alignment horizontal="center" vertical="center"/>
    </xf>
    <xf numFmtId="184" fontId="50" fillId="41" borderId="51" applyNumberFormat="0">
      <alignment horizontal="center" vertical="center"/>
    </xf>
    <xf numFmtId="184" fontId="50" fillId="41" borderId="52" applyNumberFormat="0">
      <alignment horizontal="center" vertical="center"/>
    </xf>
    <xf numFmtId="184" fontId="50" fillId="44" borderId="49" applyNumberFormat="0">
      <alignment horizontal="left" vertical="center"/>
    </xf>
    <xf numFmtId="184" fontId="50" fillId="44" borderId="50" applyNumberFormat="0">
      <alignment horizontal="center" vertical="center"/>
    </xf>
    <xf numFmtId="184" fontId="50" fillId="44" borderId="51" applyNumberFormat="0">
      <alignment horizontal="center" vertical="center"/>
    </xf>
    <xf numFmtId="184" fontId="50" fillId="44" borderId="52" applyNumberFormat="0">
      <alignment horizontal="center" vertical="center"/>
    </xf>
    <xf numFmtId="184" fontId="50" fillId="40" borderId="52" applyNumberFormat="0">
      <alignment horizontal="center" vertical="center"/>
    </xf>
    <xf numFmtId="184" fontId="53" fillId="42" borderId="0" applyNumberFormat="0" applyBorder="0">
      <alignment horizontal="center" wrapText="1"/>
    </xf>
    <xf numFmtId="184" fontId="50" fillId="41" borderId="49" applyNumberFormat="0" applyFont="0" applyProtection="0">
      <alignment horizontal="left"/>
    </xf>
    <xf numFmtId="184" fontId="50" fillId="41" borderId="50" applyNumberFormat="0" applyFont="0" applyAlignment="0" applyProtection="0"/>
    <xf numFmtId="184" fontId="50" fillId="41" borderId="51" applyNumberFormat="0" applyFont="0" applyAlignment="0" applyProtection="0"/>
    <xf numFmtId="184" fontId="50" fillId="41" borderId="52" applyNumberFormat="0" applyFont="0" applyAlignment="0" applyProtection="0"/>
    <xf numFmtId="184" fontId="63" fillId="0" borderId="0"/>
    <xf numFmtId="184" fontId="64" fillId="0" borderId="0"/>
    <xf numFmtId="184" fontId="65" fillId="0" borderId="0"/>
    <xf numFmtId="184" fontId="66" fillId="0" borderId="0"/>
    <xf numFmtId="184" fontId="67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84" fontId="28" fillId="0" borderId="0"/>
    <xf numFmtId="184" fontId="28" fillId="0" borderId="0"/>
    <xf numFmtId="184" fontId="28" fillId="0" borderId="0"/>
    <xf numFmtId="184" fontId="68" fillId="0" borderId="0"/>
    <xf numFmtId="184" fontId="69" fillId="0" borderId="0"/>
    <xf numFmtId="184" fontId="69" fillId="0" borderId="0"/>
    <xf numFmtId="170" fontId="69" fillId="0" borderId="0" applyBorder="0"/>
    <xf numFmtId="168" fontId="69" fillId="0" borderId="0" applyBorder="0"/>
    <xf numFmtId="169" fontId="69" fillId="0" borderId="0" applyBorder="0"/>
    <xf numFmtId="167" fontId="69" fillId="0" borderId="0" applyBorder="0"/>
    <xf numFmtId="184" fontId="70" fillId="0" borderId="0" applyNumberFormat="0" applyBorder="0"/>
    <xf numFmtId="184" fontId="71" fillId="0" borderId="0" applyNumberFormat="0" applyBorder="0"/>
    <xf numFmtId="9" fontId="69" fillId="0" borderId="0" applyBorder="0"/>
    <xf numFmtId="184" fontId="70" fillId="0" borderId="0" applyNumberFormat="0" applyBorder="0"/>
    <xf numFmtId="184" fontId="71" fillId="0" borderId="0" applyNumberFormat="0" applyBorder="0"/>
    <xf numFmtId="9" fontId="69" fillId="0" borderId="0" applyBorder="0"/>
    <xf numFmtId="184" fontId="70" fillId="0" borderId="0" applyNumberFormat="0" applyBorder="0"/>
    <xf numFmtId="184" fontId="71" fillId="0" borderId="0" applyNumberFormat="0" applyBorder="0"/>
    <xf numFmtId="9" fontId="69" fillId="0" borderId="0" applyBorder="0"/>
    <xf numFmtId="184" fontId="70" fillId="0" borderId="0" applyNumberFormat="0" applyBorder="0"/>
    <xf numFmtId="184" fontId="71" fillId="0" borderId="0" applyNumberFormat="0" applyBorder="0"/>
    <xf numFmtId="9" fontId="69" fillId="0" borderId="0" applyBorder="0"/>
    <xf numFmtId="184" fontId="70" fillId="0" borderId="0" applyNumberFormat="0" applyBorder="0"/>
    <xf numFmtId="184" fontId="70" fillId="0" borderId="0" applyNumberFormat="0" applyBorder="0" applyAlignment="0" applyProtection="0"/>
    <xf numFmtId="184" fontId="71" fillId="0" borderId="0" applyNumberFormat="0" applyBorder="0" applyAlignment="0" applyProtection="0"/>
    <xf numFmtId="9" fontId="69" fillId="0" borderId="0" applyBorder="0"/>
    <xf numFmtId="184" fontId="71" fillId="0" borderId="0" applyNumberFormat="0" applyBorder="0"/>
    <xf numFmtId="9" fontId="69" fillId="0" borderId="0" applyBorder="0"/>
    <xf numFmtId="9" fontId="69" fillId="0" borderId="0" applyBorder="0"/>
    <xf numFmtId="184" fontId="75" fillId="0" borderId="0" applyNumberFormat="0" applyBorder="0" applyAlignment="0" applyProtection="0"/>
    <xf numFmtId="184" fontId="76" fillId="0" borderId="0" applyNumberFormat="0" applyBorder="0" applyAlignment="0" applyProtection="0"/>
    <xf numFmtId="9" fontId="69" fillId="0" borderId="0" applyFont="0" applyBorder="0"/>
    <xf numFmtId="9" fontId="69" fillId="0" borderId="0" applyFont="0" applyBorder="0"/>
    <xf numFmtId="184" fontId="69" fillId="39" borderId="49" applyNumberFormat="0" applyFont="0" applyProtection="0">
      <alignment horizontal="left"/>
    </xf>
    <xf numFmtId="184" fontId="69" fillId="39" borderId="50" applyNumberFormat="0" applyFont="0" applyAlignment="0" applyProtection="0"/>
    <xf numFmtId="184" fontId="69" fillId="39" borderId="51" applyNumberFormat="0" applyFont="0" applyAlignment="0" applyProtection="0"/>
    <xf numFmtId="184" fontId="69" fillId="39" borderId="52" applyNumberFormat="0" applyFont="0" applyAlignment="0" applyProtection="0"/>
    <xf numFmtId="184" fontId="69" fillId="40" borderId="52" applyNumberFormat="0" applyFont="0" applyProtection="0">
      <alignment horizontal="center" vertical="center"/>
    </xf>
    <xf numFmtId="184" fontId="73" fillId="41" borderId="0" applyNumberFormat="0" applyAlignment="0" applyProtection="0"/>
    <xf numFmtId="184" fontId="72" fillId="42" borderId="0" applyNumberFormat="0" applyBorder="0" applyProtection="0">
      <alignment horizontal="center" wrapText="1"/>
    </xf>
    <xf numFmtId="184" fontId="72" fillId="42" borderId="0" applyNumberFormat="0" applyBorder="0" applyProtection="0">
      <alignment horizontal="center" wrapText="1"/>
    </xf>
    <xf numFmtId="184" fontId="73" fillId="41" borderId="0" applyNumberFormat="0"/>
    <xf numFmtId="184" fontId="69" fillId="41" borderId="49" applyNumberFormat="0">
      <alignment horizontal="left" vertical="center"/>
    </xf>
    <xf numFmtId="184" fontId="69" fillId="41" borderId="50" applyNumberFormat="0">
      <alignment horizontal="center" vertical="center"/>
    </xf>
    <xf numFmtId="184" fontId="69" fillId="41" borderId="51" applyNumberFormat="0">
      <alignment horizontal="center" vertical="center"/>
    </xf>
    <xf numFmtId="184" fontId="69" fillId="41" borderId="49" applyNumberFormat="0" applyFont="0" applyProtection="0">
      <alignment horizontal="left"/>
    </xf>
    <xf numFmtId="184" fontId="69" fillId="41" borderId="50" applyNumberFormat="0" applyFont="0" applyAlignment="0" applyProtection="0"/>
    <xf numFmtId="184" fontId="69" fillId="41" borderId="51" applyNumberFormat="0" applyFont="0" applyAlignment="0" applyProtection="0"/>
    <xf numFmtId="184" fontId="69" fillId="41" borderId="52" applyNumberFormat="0" applyFont="0" applyAlignment="0" applyProtection="0"/>
    <xf numFmtId="184" fontId="69" fillId="39" borderId="49" applyNumberFormat="0" applyFont="0" applyProtection="0">
      <alignment horizontal="left"/>
    </xf>
    <xf numFmtId="184" fontId="69" fillId="39" borderId="50" applyNumberFormat="0" applyFont="0" applyAlignment="0" applyProtection="0"/>
    <xf numFmtId="184" fontId="69" fillId="39" borderId="51" applyNumberFormat="0" applyFont="0" applyAlignment="0" applyProtection="0"/>
    <xf numFmtId="184" fontId="69" fillId="39" borderId="52" applyNumberFormat="0" applyFont="0" applyAlignment="0" applyProtection="0"/>
    <xf numFmtId="184" fontId="69" fillId="40" borderId="52" applyNumberFormat="0" applyFont="0" applyProtection="0">
      <alignment horizontal="center" vertical="center"/>
    </xf>
    <xf numFmtId="184" fontId="74" fillId="39" borderId="52" applyNumberFormat="0" applyProtection="0">
      <alignment horizontal="center" vertical="center"/>
    </xf>
    <xf numFmtId="184" fontId="73" fillId="43" borderId="0" applyNumberFormat="0" applyBorder="0" applyAlignment="0" applyProtection="0"/>
    <xf numFmtId="184" fontId="77" fillId="43" borderId="0" applyNumberFormat="0" applyBorder="0" applyProtection="0">
      <alignment horizontal="center"/>
    </xf>
    <xf numFmtId="184" fontId="73" fillId="41" borderId="0" applyNumberFormat="0" applyAlignment="0" applyProtection="0"/>
    <xf numFmtId="184" fontId="69" fillId="41" borderId="49" applyNumberFormat="0">
      <alignment horizontal="left" vertical="center"/>
    </xf>
    <xf numFmtId="184" fontId="69" fillId="41" borderId="50" applyNumberFormat="0">
      <alignment horizontal="center" vertical="center"/>
    </xf>
    <xf numFmtId="184" fontId="69" fillId="41" borderId="51" applyNumberFormat="0">
      <alignment horizontal="center" vertical="center"/>
    </xf>
    <xf numFmtId="184" fontId="69" fillId="41" borderId="52" applyNumberFormat="0">
      <alignment horizontal="center" vertical="center"/>
    </xf>
    <xf numFmtId="184" fontId="69" fillId="44" borderId="49" applyNumberFormat="0">
      <alignment horizontal="left" vertical="center"/>
    </xf>
    <xf numFmtId="184" fontId="69" fillId="44" borderId="50" applyNumberFormat="0">
      <alignment horizontal="center" vertical="center"/>
    </xf>
    <xf numFmtId="184" fontId="69" fillId="44" borderId="51" applyNumberFormat="0">
      <alignment horizontal="center" vertical="center"/>
    </xf>
    <xf numFmtId="184" fontId="69" fillId="44" borderId="52" applyNumberFormat="0">
      <alignment horizontal="center" vertical="center"/>
    </xf>
    <xf numFmtId="184" fontId="69" fillId="40" borderId="52" applyNumberFormat="0">
      <alignment horizontal="center" vertical="center"/>
    </xf>
    <xf numFmtId="184" fontId="73" fillId="41" borderId="0" applyNumberFormat="0" applyAlignment="0" applyProtection="0"/>
    <xf numFmtId="184" fontId="78" fillId="45" borderId="0" applyNumberFormat="0" applyBorder="0" applyAlignment="0" applyProtection="0"/>
    <xf numFmtId="184" fontId="69" fillId="41" borderId="53" applyNumberFormat="0" applyFont="0" applyProtection="0">
      <alignment horizontal="left" vertical="center"/>
    </xf>
    <xf numFmtId="184" fontId="69" fillId="41" borderId="53" applyNumberFormat="0" applyFont="0" applyProtection="0">
      <alignment horizontal="left" vertical="center"/>
    </xf>
    <xf numFmtId="184" fontId="69" fillId="41" borderId="54" applyNumberFormat="0" applyProtection="0">
      <alignment horizontal="center" vertical="center"/>
    </xf>
    <xf numFmtId="184" fontId="69" fillId="41" borderId="54" applyNumberFormat="0" applyProtection="0">
      <alignment horizontal="center" vertical="center"/>
    </xf>
    <xf numFmtId="184" fontId="69" fillId="41" borderId="55" applyNumberFormat="0" applyProtection="0">
      <alignment horizontal="center" vertical="center"/>
    </xf>
    <xf numFmtId="184" fontId="69" fillId="41" borderId="55" applyNumberFormat="0" applyProtection="0">
      <alignment horizontal="center" vertical="center"/>
    </xf>
    <xf numFmtId="184" fontId="69" fillId="41" borderId="56" applyNumberFormat="0" applyProtection="0">
      <alignment horizontal="center" vertical="center"/>
    </xf>
    <xf numFmtId="184" fontId="69" fillId="41" borderId="56" applyNumberFormat="0" applyProtection="0">
      <alignment horizontal="center" vertical="center"/>
    </xf>
    <xf numFmtId="184" fontId="69" fillId="46" borderId="53" applyNumberFormat="0" applyFont="0" applyProtection="0">
      <alignment horizontal="left" vertical="center"/>
    </xf>
    <xf numFmtId="184" fontId="69" fillId="46" borderId="53" applyNumberFormat="0" applyFont="0" applyProtection="0">
      <alignment horizontal="left" vertical="center"/>
    </xf>
    <xf numFmtId="184" fontId="69" fillId="46" borderId="54" applyNumberFormat="0" applyFont="0" applyProtection="0">
      <alignment horizontal="center" vertical="center"/>
    </xf>
    <xf numFmtId="184" fontId="69" fillId="46" borderId="54" applyNumberFormat="0" applyFont="0" applyProtection="0">
      <alignment horizontal="center" vertical="center"/>
    </xf>
    <xf numFmtId="184" fontId="69" fillId="46" borderId="55" applyNumberFormat="0" applyFont="0" applyProtection="0">
      <alignment horizontal="center" vertical="center"/>
    </xf>
    <xf numFmtId="184" fontId="69" fillId="46" borderId="55" applyNumberFormat="0" applyFont="0" applyProtection="0">
      <alignment horizontal="center" vertical="center"/>
    </xf>
    <xf numFmtId="184" fontId="69" fillId="46" borderId="56" applyNumberFormat="0" applyFont="0" applyProtection="0">
      <alignment horizontal="center" vertical="center"/>
    </xf>
    <xf numFmtId="184" fontId="69" fillId="46" borderId="56" applyNumberFormat="0" applyFont="0" applyProtection="0">
      <alignment horizontal="center" vertical="center"/>
    </xf>
    <xf numFmtId="184" fontId="69" fillId="45" borderId="56" applyNumberFormat="0" applyFont="0" applyProtection="0">
      <alignment horizontal="center" vertical="center"/>
    </xf>
    <xf numFmtId="184" fontId="69" fillId="45" borderId="56" applyNumberFormat="0" applyFont="0" applyProtection="0">
      <alignment horizontal="center" vertical="center"/>
    </xf>
    <xf numFmtId="184" fontId="74" fillId="41" borderId="56" applyNumberFormat="0" applyProtection="0">
      <alignment horizontal="center" vertical="center"/>
    </xf>
    <xf numFmtId="184" fontId="74" fillId="46" borderId="56" applyNumberFormat="0" applyProtection="0">
      <alignment horizontal="center" vertical="center"/>
    </xf>
    <xf numFmtId="184" fontId="72" fillId="42" borderId="0" applyNumberFormat="0" applyBorder="0" applyProtection="0">
      <alignment horizontal="center" wrapText="1"/>
    </xf>
    <xf numFmtId="184" fontId="69" fillId="41" borderId="49" applyNumberFormat="0">
      <alignment horizontal="left" vertical="center"/>
    </xf>
    <xf numFmtId="184" fontId="69" fillId="41" borderId="50" applyNumberFormat="0">
      <alignment horizontal="center" vertical="center"/>
    </xf>
    <xf numFmtId="184" fontId="69" fillId="41" borderId="51" applyNumberFormat="0">
      <alignment horizontal="center" vertical="center"/>
    </xf>
    <xf numFmtId="184" fontId="69" fillId="41" borderId="52" applyNumberFormat="0">
      <alignment horizontal="center" vertical="center"/>
    </xf>
    <xf numFmtId="184" fontId="69" fillId="44" borderId="49" applyNumberFormat="0">
      <alignment horizontal="left" vertical="center"/>
    </xf>
    <xf numFmtId="184" fontId="69" fillId="44" borderId="50" applyNumberFormat="0">
      <alignment horizontal="center" vertical="center"/>
    </xf>
    <xf numFmtId="184" fontId="69" fillId="44" borderId="51" applyNumberFormat="0">
      <alignment horizontal="center" vertical="center"/>
    </xf>
    <xf numFmtId="184" fontId="69" fillId="44" borderId="52" applyNumberFormat="0">
      <alignment horizontal="center" vertical="center"/>
    </xf>
    <xf numFmtId="184" fontId="69" fillId="40" borderId="52" applyNumberFormat="0">
      <alignment horizontal="center" vertical="center"/>
    </xf>
    <xf numFmtId="184" fontId="69" fillId="41" borderId="49" applyNumberFormat="0" applyFont="0" applyProtection="0">
      <alignment horizontal="left" vertical="center"/>
    </xf>
    <xf numFmtId="184" fontId="69" fillId="41" borderId="49" applyNumberFormat="0" applyFont="0" applyProtection="0">
      <alignment horizontal="left" vertical="center"/>
    </xf>
    <xf numFmtId="184" fontId="69" fillId="41" borderId="50" applyNumberFormat="0" applyProtection="0">
      <alignment horizontal="center" vertical="center"/>
    </xf>
    <xf numFmtId="184" fontId="69" fillId="41" borderId="50" applyNumberFormat="0" applyProtection="0">
      <alignment horizontal="center" vertical="center"/>
    </xf>
    <xf numFmtId="184" fontId="69" fillId="41" borderId="51" applyNumberFormat="0" applyProtection="0">
      <alignment horizontal="center" vertical="center"/>
    </xf>
    <xf numFmtId="184" fontId="69" fillId="41" borderId="51" applyNumberFormat="0" applyProtection="0">
      <alignment horizontal="center" vertical="center"/>
    </xf>
    <xf numFmtId="184" fontId="69" fillId="41" borderId="52" applyNumberFormat="0" applyProtection="0">
      <alignment horizontal="center" vertical="center"/>
    </xf>
    <xf numFmtId="184" fontId="69" fillId="41" borderId="52" applyNumberFormat="0" applyProtection="0">
      <alignment horizontal="center" vertical="center"/>
    </xf>
    <xf numFmtId="184" fontId="69" fillId="39" borderId="49" applyNumberFormat="0" applyFont="0" applyProtection="0">
      <alignment horizontal="left" vertical="center"/>
    </xf>
    <xf numFmtId="184" fontId="69" fillId="39" borderId="49" applyNumberFormat="0" applyFont="0" applyProtection="0">
      <alignment horizontal="left" vertical="center"/>
    </xf>
    <xf numFmtId="184" fontId="69" fillId="39" borderId="50" applyNumberFormat="0" applyProtection="0">
      <alignment horizontal="center" vertical="center"/>
    </xf>
    <xf numFmtId="184" fontId="69" fillId="39" borderId="50" applyNumberFormat="0" applyProtection="0">
      <alignment horizontal="center" vertical="center"/>
    </xf>
    <xf numFmtId="184" fontId="69" fillId="39" borderId="51" applyNumberFormat="0" applyProtection="0">
      <alignment horizontal="center" vertical="center"/>
    </xf>
    <xf numFmtId="184" fontId="69" fillId="39" borderId="51" applyNumberFormat="0" applyProtection="0">
      <alignment horizontal="center" vertical="center"/>
    </xf>
    <xf numFmtId="184" fontId="69" fillId="39" borderId="52" applyNumberFormat="0" applyProtection="0">
      <alignment horizontal="center" vertical="center"/>
    </xf>
    <xf numFmtId="184" fontId="69" fillId="39" borderId="52" applyNumberFormat="0" applyProtection="0">
      <alignment horizontal="center" vertical="center"/>
    </xf>
    <xf numFmtId="184" fontId="69" fillId="40" borderId="52" applyNumberFormat="0" applyFont="0" applyProtection="0">
      <alignment horizontal="center" vertical="center"/>
    </xf>
    <xf numFmtId="184" fontId="69" fillId="40" borderId="52" applyNumberFormat="0" applyFont="0" applyProtection="0">
      <alignment horizontal="center" vertical="center"/>
    </xf>
    <xf numFmtId="184" fontId="74" fillId="41" borderId="52" applyNumberFormat="0" applyProtection="0">
      <alignment horizontal="center" vertical="center"/>
    </xf>
    <xf numFmtId="184" fontId="74" fillId="39" borderId="52" applyNumberFormat="0" applyProtection="0">
      <alignment horizontal="center" vertical="center"/>
    </xf>
    <xf numFmtId="184" fontId="72" fillId="42" borderId="0" applyNumberFormat="0" applyBorder="0">
      <alignment horizontal="center" wrapText="1"/>
    </xf>
    <xf numFmtId="184" fontId="73" fillId="41" borderId="0" applyNumberFormat="0"/>
    <xf numFmtId="184" fontId="69" fillId="41" borderId="49" applyNumberFormat="0">
      <alignment horizontal="left" vertical="center"/>
    </xf>
    <xf numFmtId="184" fontId="69" fillId="41" borderId="50" applyNumberFormat="0">
      <alignment horizontal="center" vertical="center"/>
    </xf>
    <xf numFmtId="184" fontId="69" fillId="41" borderId="51" applyNumberFormat="0">
      <alignment horizontal="center" vertical="center"/>
    </xf>
    <xf numFmtId="184" fontId="69" fillId="41" borderId="52" applyNumberFormat="0">
      <alignment horizontal="center" vertical="center"/>
    </xf>
    <xf numFmtId="184" fontId="69" fillId="44" borderId="49" applyNumberFormat="0">
      <alignment horizontal="left" vertical="center"/>
    </xf>
    <xf numFmtId="184" fontId="69" fillId="44" borderId="50" applyNumberFormat="0">
      <alignment horizontal="center" vertical="center"/>
    </xf>
    <xf numFmtId="184" fontId="69" fillId="44" borderId="51" applyNumberFormat="0">
      <alignment horizontal="center" vertical="center"/>
    </xf>
    <xf numFmtId="184" fontId="69" fillId="44" borderId="52" applyNumberFormat="0">
      <alignment horizontal="center" vertical="center"/>
    </xf>
    <xf numFmtId="184" fontId="69" fillId="40" borderId="52" applyNumberFormat="0">
      <alignment horizontal="center" vertical="center"/>
    </xf>
    <xf numFmtId="184" fontId="69" fillId="41" borderId="49" applyNumberFormat="0">
      <alignment horizontal="left" vertical="center"/>
    </xf>
    <xf numFmtId="184" fontId="69" fillId="41" borderId="50" applyNumberFormat="0">
      <alignment horizontal="center" vertical="center"/>
    </xf>
    <xf numFmtId="184" fontId="69" fillId="41" borderId="51" applyNumberFormat="0">
      <alignment horizontal="center" vertical="center"/>
    </xf>
    <xf numFmtId="184" fontId="69" fillId="41" borderId="52" applyNumberFormat="0">
      <alignment horizontal="center" vertical="center"/>
    </xf>
    <xf numFmtId="184" fontId="69" fillId="44" borderId="49" applyNumberFormat="0">
      <alignment horizontal="left" vertical="center"/>
    </xf>
    <xf numFmtId="184" fontId="69" fillId="44" borderId="50" applyNumberFormat="0">
      <alignment horizontal="center" vertical="center"/>
    </xf>
    <xf numFmtId="184" fontId="69" fillId="44" borderId="51" applyNumberFormat="0">
      <alignment horizontal="center" vertical="center"/>
    </xf>
    <xf numFmtId="184" fontId="69" fillId="44" borderId="52" applyNumberFormat="0">
      <alignment horizontal="center" vertical="center"/>
    </xf>
    <xf numFmtId="184" fontId="69" fillId="40" borderId="52" applyNumberFormat="0">
      <alignment horizontal="center" vertical="center"/>
    </xf>
    <xf numFmtId="184" fontId="69" fillId="41" borderId="50" applyNumberFormat="0" applyFont="0"/>
    <xf numFmtId="184" fontId="69" fillId="39" borderId="50" applyNumberFormat="0" applyFont="0"/>
    <xf numFmtId="184" fontId="79" fillId="43" borderId="0" applyNumberFormat="0" applyBorder="0" applyAlignment="0" applyProtection="0"/>
    <xf numFmtId="184" fontId="79" fillId="43" borderId="0" applyNumberFormat="0" applyBorder="0" applyAlignment="0" applyProtection="0"/>
    <xf numFmtId="184" fontId="79" fillId="43" borderId="0" applyNumberFormat="0" applyBorder="0" applyAlignment="0" applyProtection="0"/>
    <xf numFmtId="184" fontId="72" fillId="42" borderId="0" applyNumberFormat="0" applyBorder="0">
      <alignment horizontal="center" wrapText="1"/>
    </xf>
    <xf numFmtId="184" fontId="72" fillId="42" borderId="0" applyNumberFormat="0" applyBorder="0">
      <alignment horizontal="center" wrapText="1"/>
    </xf>
    <xf numFmtId="184" fontId="69" fillId="41" borderId="49" applyNumberFormat="0"/>
    <xf numFmtId="184" fontId="69" fillId="41" borderId="50" applyNumberFormat="0"/>
    <xf numFmtId="184" fontId="69" fillId="41" borderId="51" applyNumberFormat="0"/>
    <xf numFmtId="184" fontId="69" fillId="41" borderId="52" applyNumberFormat="0"/>
    <xf numFmtId="184" fontId="69" fillId="39" borderId="49" applyNumberFormat="0"/>
    <xf numFmtId="184" fontId="69" fillId="39" borderId="50" applyNumberFormat="0"/>
    <xf numFmtId="184" fontId="69" fillId="39" borderId="51" applyNumberFormat="0"/>
    <xf numFmtId="184" fontId="69" fillId="39" borderId="52" applyNumberFormat="0"/>
    <xf numFmtId="184" fontId="69" fillId="41" borderId="49" applyNumberFormat="0"/>
    <xf numFmtId="184" fontId="69" fillId="41" borderId="50" applyNumberFormat="0"/>
    <xf numFmtId="184" fontId="69" fillId="41" borderId="51" applyNumberFormat="0"/>
    <xf numFmtId="184" fontId="69" fillId="41" borderId="52" applyNumberFormat="0"/>
    <xf numFmtId="184" fontId="69" fillId="44" borderId="49" applyNumberFormat="0"/>
    <xf numFmtId="184" fontId="69" fillId="44" borderId="50" applyNumberFormat="0"/>
    <xf numFmtId="184" fontId="69" fillId="44" borderId="51" applyNumberFormat="0"/>
    <xf numFmtId="184" fontId="69" fillId="44" borderId="52" applyNumberFormat="0"/>
    <xf numFmtId="184" fontId="72" fillId="42" borderId="0" applyNumberFormat="0" applyBorder="0">
      <alignment horizontal="center" wrapText="1"/>
    </xf>
    <xf numFmtId="184" fontId="69" fillId="41" borderId="49" applyNumberFormat="0">
      <alignment horizontal="left"/>
    </xf>
    <xf numFmtId="184" fontId="69" fillId="41" borderId="50" applyNumberFormat="0"/>
    <xf numFmtId="184" fontId="69" fillId="41" borderId="51" applyNumberFormat="0"/>
    <xf numFmtId="184" fontId="69" fillId="41" borderId="52" applyNumberFormat="0"/>
    <xf numFmtId="184" fontId="69" fillId="44" borderId="49" applyNumberFormat="0">
      <alignment horizontal="left"/>
    </xf>
    <xf numFmtId="184" fontId="69" fillId="44" borderId="50" applyNumberFormat="0"/>
    <xf numFmtId="184" fontId="69" fillId="44" borderId="51" applyNumberFormat="0"/>
    <xf numFmtId="184" fontId="69" fillId="44" borderId="52" applyNumberFormat="0"/>
    <xf numFmtId="184" fontId="72" fillId="42" borderId="0" applyNumberFormat="0" applyBorder="0" applyProtection="0">
      <alignment horizontal="center" wrapText="1"/>
    </xf>
    <xf numFmtId="184" fontId="72" fillId="42" borderId="0" applyNumberFormat="0" applyBorder="0">
      <alignment horizontal="center" wrapText="1"/>
    </xf>
    <xf numFmtId="184" fontId="69" fillId="41" borderId="49" applyNumberFormat="0" applyFont="0" applyProtection="0">
      <alignment horizontal="left"/>
    </xf>
    <xf numFmtId="184" fontId="69" fillId="41" borderId="50" applyNumberFormat="0" applyFont="0" applyAlignment="0" applyProtection="0"/>
    <xf numFmtId="184" fontId="69" fillId="41" borderId="51" applyNumberFormat="0" applyFont="0" applyAlignment="0" applyProtection="0"/>
    <xf numFmtId="184" fontId="69" fillId="41" borderId="52" applyNumberFormat="0" applyFont="0" applyAlignment="0" applyProtection="0"/>
    <xf numFmtId="184" fontId="69" fillId="39" borderId="49" applyNumberFormat="0" applyFont="0" applyProtection="0">
      <alignment horizontal="left"/>
    </xf>
    <xf numFmtId="184" fontId="69" fillId="39" borderId="50" applyNumberFormat="0" applyFont="0" applyAlignment="0" applyProtection="0"/>
    <xf numFmtId="184" fontId="69" fillId="39" borderId="51" applyNumberFormat="0" applyFont="0" applyAlignment="0" applyProtection="0"/>
    <xf numFmtId="184" fontId="69" fillId="39" borderId="52" applyNumberFormat="0" applyFont="0" applyAlignment="0" applyProtection="0"/>
    <xf numFmtId="184" fontId="69" fillId="40" borderId="52" applyNumberFormat="0" applyFont="0" applyProtection="0">
      <alignment horizontal="center" vertical="center"/>
    </xf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73" fillId="41" borderId="0" applyNumberFormat="0" applyAlignment="0" applyProtection="0"/>
    <xf numFmtId="184" fontId="72" fillId="42" borderId="0" applyNumberFormat="0" applyBorder="0" applyProtection="0">
      <alignment horizontal="center" wrapText="1"/>
    </xf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73" fillId="41" borderId="0" applyNumberFormat="0"/>
    <xf numFmtId="184" fontId="69" fillId="41" borderId="49" applyNumberFormat="0">
      <alignment horizontal="left" vertical="center"/>
    </xf>
    <xf numFmtId="184" fontId="69" fillId="41" borderId="50" applyNumberFormat="0">
      <alignment horizontal="center" vertical="center"/>
    </xf>
    <xf numFmtId="184" fontId="69" fillId="41" borderId="51" applyNumberFormat="0">
      <alignment horizontal="center" vertical="center"/>
    </xf>
    <xf numFmtId="184" fontId="69" fillId="41" borderId="52" applyNumberFormat="0">
      <alignment horizontal="center" vertical="center"/>
    </xf>
    <xf numFmtId="184" fontId="69" fillId="44" borderId="49" applyNumberFormat="0">
      <alignment horizontal="left" vertical="center"/>
    </xf>
    <xf numFmtId="184" fontId="69" fillId="44" borderId="50" applyNumberFormat="0">
      <alignment horizontal="center" vertical="center"/>
    </xf>
    <xf numFmtId="184" fontId="69" fillId="44" borderId="51" applyNumberFormat="0">
      <alignment horizontal="center" vertical="center"/>
    </xf>
    <xf numFmtId="184" fontId="69" fillId="44" borderId="52" applyNumberFormat="0">
      <alignment horizontal="center" vertical="center"/>
    </xf>
    <xf numFmtId="184" fontId="69" fillId="40" borderId="52" applyNumberFormat="0">
      <alignment horizontal="center" vertical="center"/>
    </xf>
    <xf numFmtId="184" fontId="72" fillId="42" borderId="0" applyNumberFormat="0" applyBorder="0">
      <alignment horizontal="center" wrapText="1"/>
    </xf>
    <xf numFmtId="184" fontId="69" fillId="41" borderId="49" applyNumberFormat="0" applyFont="0" applyProtection="0">
      <alignment horizontal="left"/>
    </xf>
    <xf numFmtId="184" fontId="69" fillId="41" borderId="50" applyNumberFormat="0" applyFont="0" applyAlignment="0" applyProtection="0"/>
    <xf numFmtId="184" fontId="69" fillId="41" borderId="51" applyNumberFormat="0" applyFont="0" applyAlignment="0" applyProtection="0"/>
    <xf numFmtId="184" fontId="69" fillId="41" borderId="52" applyNumberFormat="0" applyFont="0" applyAlignment="0" applyProtection="0"/>
    <xf numFmtId="184" fontId="1" fillId="0" borderId="0"/>
    <xf numFmtId="184" fontId="7" fillId="0" borderId="0" applyNumberFormat="0" applyFill="0" applyBorder="0" applyAlignment="0" applyProtection="0"/>
    <xf numFmtId="184" fontId="8" fillId="0" borderId="32" applyNumberFormat="0" applyFill="0" applyAlignment="0" applyProtection="0"/>
    <xf numFmtId="184" fontId="9" fillId="0" borderId="33" applyNumberFormat="0" applyFill="0" applyAlignment="0" applyProtection="0"/>
    <xf numFmtId="184" fontId="10" fillId="0" borderId="34" applyNumberFormat="0" applyFill="0" applyAlignment="0" applyProtection="0"/>
    <xf numFmtId="184" fontId="10" fillId="0" borderId="0" applyNumberFormat="0" applyFill="0" applyBorder="0" applyAlignment="0" applyProtection="0"/>
    <xf numFmtId="184" fontId="11" fillId="7" borderId="0" applyNumberFormat="0" applyBorder="0" applyAlignment="0" applyProtection="0"/>
    <xf numFmtId="184" fontId="12" fillId="8" borderId="0" applyNumberFormat="0" applyBorder="0" applyAlignment="0" applyProtection="0"/>
    <xf numFmtId="184" fontId="13" fillId="9" borderId="0" applyNumberFormat="0" applyBorder="0" applyAlignment="0" applyProtection="0"/>
    <xf numFmtId="184" fontId="14" fillId="10" borderId="35" applyNumberFormat="0" applyAlignment="0" applyProtection="0"/>
    <xf numFmtId="184" fontId="15" fillId="11" borderId="36" applyNumberFormat="0" applyAlignment="0" applyProtection="0"/>
    <xf numFmtId="184" fontId="16" fillId="11" borderId="35" applyNumberFormat="0" applyAlignment="0" applyProtection="0"/>
    <xf numFmtId="184" fontId="17" fillId="0" borderId="37" applyNumberFormat="0" applyFill="0" applyAlignment="0" applyProtection="0"/>
    <xf numFmtId="184" fontId="18" fillId="12" borderId="38" applyNumberFormat="0" applyAlignment="0" applyProtection="0"/>
    <xf numFmtId="184" fontId="19" fillId="0" borderId="0" applyNumberFormat="0" applyFill="0" applyBorder="0" applyAlignment="0" applyProtection="0"/>
    <xf numFmtId="184" fontId="1" fillId="13" borderId="39" applyNumberFormat="0" applyFont="0" applyAlignment="0" applyProtection="0"/>
    <xf numFmtId="184" fontId="20" fillId="0" borderId="0" applyNumberFormat="0" applyFill="0" applyBorder="0" applyAlignment="0" applyProtection="0"/>
    <xf numFmtId="184" fontId="6" fillId="0" borderId="40" applyNumberFormat="0" applyFill="0" applyAlignment="0" applyProtection="0"/>
    <xf numFmtId="184" fontId="21" fillId="14" borderId="0" applyNumberFormat="0" applyBorder="0" applyAlignment="0" applyProtection="0"/>
    <xf numFmtId="184" fontId="1" fillId="15" borderId="0" applyNumberFormat="0" applyBorder="0" applyAlignment="0" applyProtection="0"/>
    <xf numFmtId="184" fontId="1" fillId="16" borderId="0" applyNumberFormat="0" applyBorder="0" applyAlignment="0" applyProtection="0"/>
    <xf numFmtId="184" fontId="21" fillId="17" borderId="0" applyNumberFormat="0" applyBorder="0" applyAlignment="0" applyProtection="0"/>
    <xf numFmtId="184" fontId="21" fillId="18" borderId="0" applyNumberFormat="0" applyBorder="0" applyAlignment="0" applyProtection="0"/>
    <xf numFmtId="184" fontId="1" fillId="19" borderId="0" applyNumberFormat="0" applyBorder="0" applyAlignment="0" applyProtection="0"/>
    <xf numFmtId="184" fontId="1" fillId="20" borderId="0" applyNumberFormat="0" applyBorder="0" applyAlignment="0" applyProtection="0"/>
    <xf numFmtId="184" fontId="21" fillId="21" borderId="0" applyNumberFormat="0" applyBorder="0" applyAlignment="0" applyProtection="0"/>
    <xf numFmtId="184" fontId="21" fillId="22" borderId="0" applyNumberFormat="0" applyBorder="0" applyAlignment="0" applyProtection="0"/>
    <xf numFmtId="184" fontId="1" fillId="23" borderId="0" applyNumberFormat="0" applyBorder="0" applyAlignment="0" applyProtection="0"/>
    <xf numFmtId="184" fontId="1" fillId="24" borderId="0" applyNumberFormat="0" applyBorder="0" applyAlignment="0" applyProtection="0"/>
    <xf numFmtId="184" fontId="21" fillId="25" borderId="0" applyNumberFormat="0" applyBorder="0" applyAlignment="0" applyProtection="0"/>
    <xf numFmtId="184" fontId="21" fillId="26" borderId="0" applyNumberFormat="0" applyBorder="0" applyAlignment="0" applyProtection="0"/>
    <xf numFmtId="184" fontId="1" fillId="27" borderId="0" applyNumberFormat="0" applyBorder="0" applyAlignment="0" applyProtection="0"/>
    <xf numFmtId="184" fontId="1" fillId="28" borderId="0" applyNumberFormat="0" applyBorder="0" applyAlignment="0" applyProtection="0"/>
    <xf numFmtId="184" fontId="21" fillId="29" borderId="0" applyNumberFormat="0" applyBorder="0" applyAlignment="0" applyProtection="0"/>
    <xf numFmtId="184" fontId="21" fillId="30" borderId="0" applyNumberFormat="0" applyBorder="0" applyAlignment="0" applyProtection="0"/>
    <xf numFmtId="184" fontId="1" fillId="31" borderId="0" applyNumberFormat="0" applyBorder="0" applyAlignment="0" applyProtection="0"/>
    <xf numFmtId="184" fontId="1" fillId="32" borderId="0" applyNumberFormat="0" applyBorder="0" applyAlignment="0" applyProtection="0"/>
    <xf numFmtId="184" fontId="21" fillId="33" borderId="0" applyNumberFormat="0" applyBorder="0" applyAlignment="0" applyProtection="0"/>
    <xf numFmtId="184" fontId="21" fillId="34" borderId="0" applyNumberFormat="0" applyBorder="0" applyAlignment="0" applyProtection="0"/>
    <xf numFmtId="184" fontId="1" fillId="35" borderId="0" applyNumberFormat="0" applyBorder="0" applyAlignment="0" applyProtection="0"/>
    <xf numFmtId="184" fontId="1" fillId="36" borderId="0" applyNumberFormat="0" applyBorder="0" applyAlignment="0" applyProtection="0"/>
    <xf numFmtId="184" fontId="21" fillId="37" borderId="0" applyNumberFormat="0" applyBorder="0" applyAlignment="0" applyProtection="0"/>
    <xf numFmtId="184" fontId="1" fillId="0" borderId="0"/>
    <xf numFmtId="184" fontId="80" fillId="0" borderId="0"/>
    <xf numFmtId="184" fontId="1" fillId="0" borderId="0"/>
    <xf numFmtId="184" fontId="1" fillId="0" borderId="0"/>
    <xf numFmtId="184" fontId="1" fillId="0" borderId="0"/>
    <xf numFmtId="184" fontId="81" fillId="0" borderId="0"/>
    <xf numFmtId="184" fontId="28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82" fillId="0" borderId="0"/>
    <xf numFmtId="184" fontId="1" fillId="0" borderId="0"/>
    <xf numFmtId="184" fontId="1" fillId="0" borderId="0"/>
    <xf numFmtId="184" fontId="1" fillId="0" borderId="0"/>
    <xf numFmtId="184" fontId="83" fillId="0" borderId="0"/>
    <xf numFmtId="184" fontId="85" fillId="0" borderId="0"/>
    <xf numFmtId="184" fontId="85" fillId="0" borderId="0"/>
    <xf numFmtId="170" fontId="85" fillId="0" borderId="0" applyBorder="0"/>
    <xf numFmtId="168" fontId="85" fillId="0" borderId="0" applyBorder="0"/>
    <xf numFmtId="169" fontId="85" fillId="0" borderId="0" applyBorder="0"/>
    <xf numFmtId="167" fontId="85" fillId="0" borderId="0" applyBorder="0"/>
    <xf numFmtId="184" fontId="86" fillId="0" borderId="0" applyNumberFormat="0" applyBorder="0"/>
    <xf numFmtId="184" fontId="87" fillId="0" borderId="0" applyNumberFormat="0" applyBorder="0"/>
    <xf numFmtId="9" fontId="85" fillId="0" borderId="0" applyBorder="0"/>
    <xf numFmtId="184" fontId="86" fillId="0" borderId="0" applyNumberFormat="0" applyBorder="0"/>
    <xf numFmtId="184" fontId="87" fillId="0" borderId="0" applyNumberFormat="0" applyBorder="0"/>
    <xf numFmtId="9" fontId="85" fillId="0" borderId="0" applyBorder="0"/>
    <xf numFmtId="184" fontId="86" fillId="0" borderId="0" applyNumberFormat="0" applyBorder="0"/>
    <xf numFmtId="184" fontId="87" fillId="0" borderId="0" applyNumberFormat="0" applyBorder="0"/>
    <xf numFmtId="9" fontId="85" fillId="0" borderId="0" applyBorder="0"/>
    <xf numFmtId="184" fontId="86" fillId="0" borderId="0" applyNumberFormat="0" applyBorder="0"/>
    <xf numFmtId="184" fontId="87" fillId="0" borderId="0" applyNumberFormat="0" applyBorder="0"/>
    <xf numFmtId="9" fontId="85" fillId="0" borderId="0" applyBorder="0"/>
    <xf numFmtId="184" fontId="86" fillId="0" borderId="0" applyNumberFormat="0" applyBorder="0"/>
    <xf numFmtId="184" fontId="86" fillId="0" borderId="0" applyNumberFormat="0" applyBorder="0" applyAlignment="0" applyProtection="0"/>
    <xf numFmtId="184" fontId="87" fillId="0" borderId="0" applyNumberFormat="0" applyBorder="0" applyAlignment="0" applyProtection="0"/>
    <xf numFmtId="9" fontId="85" fillId="0" borderId="0" applyBorder="0"/>
    <xf numFmtId="184" fontId="87" fillId="0" borderId="0" applyNumberFormat="0" applyBorder="0"/>
    <xf numFmtId="9" fontId="85" fillId="0" borderId="0" applyBorder="0"/>
    <xf numFmtId="9" fontId="85" fillId="0" borderId="0" applyBorder="0"/>
    <xf numFmtId="184" fontId="91" fillId="0" borderId="0" applyNumberFormat="0" applyBorder="0" applyAlignment="0" applyProtection="0"/>
    <xf numFmtId="184" fontId="92" fillId="0" borderId="0" applyNumberFormat="0" applyBorder="0" applyAlignment="0" applyProtection="0"/>
    <xf numFmtId="9" fontId="85" fillId="0" borderId="0" applyFont="0" applyBorder="0"/>
    <xf numFmtId="9" fontId="85" fillId="0" borderId="0" applyFont="0" applyBorder="0"/>
    <xf numFmtId="184" fontId="85" fillId="39" borderId="49" applyNumberFormat="0" applyFont="0" applyProtection="0">
      <alignment horizontal="left"/>
    </xf>
    <xf numFmtId="184" fontId="85" fillId="39" borderId="50" applyNumberFormat="0" applyFont="0" applyAlignment="0" applyProtection="0"/>
    <xf numFmtId="184" fontId="85" fillId="39" borderId="51" applyNumberFormat="0" applyFont="0" applyAlignment="0" applyProtection="0"/>
    <xf numFmtId="184" fontId="85" fillId="39" borderId="52" applyNumberFormat="0" applyFont="0" applyAlignment="0" applyProtection="0"/>
    <xf numFmtId="184" fontId="85" fillId="40" borderId="52" applyNumberFormat="0" applyFont="0" applyProtection="0">
      <alignment horizontal="center" vertical="center"/>
    </xf>
    <xf numFmtId="184" fontId="89" fillId="41" borderId="0" applyNumberFormat="0" applyAlignment="0" applyProtection="0"/>
    <xf numFmtId="184" fontId="88" fillId="42" borderId="0" applyNumberFormat="0" applyBorder="0" applyProtection="0">
      <alignment horizontal="center" wrapText="1"/>
    </xf>
    <xf numFmtId="184" fontId="88" fillId="42" borderId="0" applyNumberFormat="0" applyBorder="0" applyProtection="0">
      <alignment horizontal="center" wrapText="1"/>
    </xf>
    <xf numFmtId="184" fontId="89" fillId="41" borderId="0" applyNumberFormat="0"/>
    <xf numFmtId="184" fontId="85" fillId="41" borderId="49" applyNumberFormat="0">
      <alignment horizontal="left" vertical="center"/>
    </xf>
    <xf numFmtId="184" fontId="85" fillId="41" borderId="50" applyNumberFormat="0">
      <alignment horizontal="center" vertical="center"/>
    </xf>
    <xf numFmtId="184" fontId="85" fillId="41" borderId="51" applyNumberFormat="0">
      <alignment horizontal="center" vertical="center"/>
    </xf>
    <xf numFmtId="184" fontId="85" fillId="41" borderId="49" applyNumberFormat="0" applyFont="0" applyProtection="0">
      <alignment horizontal="left"/>
    </xf>
    <xf numFmtId="184" fontId="85" fillId="41" borderId="50" applyNumberFormat="0" applyFont="0" applyAlignment="0" applyProtection="0"/>
    <xf numFmtId="184" fontId="85" fillId="41" borderId="51" applyNumberFormat="0" applyFont="0" applyAlignment="0" applyProtection="0"/>
    <xf numFmtId="184" fontId="85" fillId="41" borderId="52" applyNumberFormat="0" applyFont="0" applyAlignment="0" applyProtection="0"/>
    <xf numFmtId="184" fontId="85" fillId="39" borderId="49" applyNumberFormat="0" applyFont="0" applyProtection="0">
      <alignment horizontal="left"/>
    </xf>
    <xf numFmtId="184" fontId="85" fillId="39" borderId="50" applyNumberFormat="0" applyFont="0" applyAlignment="0" applyProtection="0"/>
    <xf numFmtId="184" fontId="85" fillId="39" borderId="51" applyNumberFormat="0" applyFont="0" applyAlignment="0" applyProtection="0"/>
    <xf numFmtId="184" fontId="85" fillId="39" borderId="52" applyNumberFormat="0" applyFont="0" applyAlignment="0" applyProtection="0"/>
    <xf numFmtId="184" fontId="85" fillId="40" borderId="52" applyNumberFormat="0" applyFont="0" applyProtection="0">
      <alignment horizontal="center" vertical="center"/>
    </xf>
    <xf numFmtId="184" fontId="90" fillId="39" borderId="52" applyNumberFormat="0" applyProtection="0">
      <alignment horizontal="center" vertical="center"/>
    </xf>
    <xf numFmtId="184" fontId="89" fillId="43" borderId="0" applyNumberFormat="0" applyBorder="0" applyAlignment="0" applyProtection="0"/>
    <xf numFmtId="184" fontId="93" fillId="43" borderId="0" applyNumberFormat="0" applyBorder="0" applyProtection="0">
      <alignment horizontal="center"/>
    </xf>
    <xf numFmtId="184" fontId="89" fillId="41" borderId="0" applyNumberFormat="0" applyAlignment="0" applyProtection="0"/>
    <xf numFmtId="184" fontId="85" fillId="41" borderId="49" applyNumberFormat="0">
      <alignment horizontal="left" vertical="center"/>
    </xf>
    <xf numFmtId="184" fontId="85" fillId="41" borderId="50" applyNumberFormat="0">
      <alignment horizontal="center" vertical="center"/>
    </xf>
    <xf numFmtId="184" fontId="85" fillId="41" borderId="51" applyNumberFormat="0">
      <alignment horizontal="center" vertical="center"/>
    </xf>
    <xf numFmtId="184" fontId="85" fillId="41" borderId="52" applyNumberFormat="0">
      <alignment horizontal="center" vertical="center"/>
    </xf>
    <xf numFmtId="184" fontId="85" fillId="44" borderId="49" applyNumberFormat="0">
      <alignment horizontal="left" vertical="center"/>
    </xf>
    <xf numFmtId="184" fontId="85" fillId="44" borderId="50" applyNumberFormat="0">
      <alignment horizontal="center" vertical="center"/>
    </xf>
    <xf numFmtId="184" fontId="85" fillId="44" borderId="51" applyNumberFormat="0">
      <alignment horizontal="center" vertical="center"/>
    </xf>
    <xf numFmtId="184" fontId="85" fillId="44" borderId="52" applyNumberFormat="0">
      <alignment horizontal="center" vertical="center"/>
    </xf>
    <xf numFmtId="184" fontId="85" fillId="40" borderId="52" applyNumberFormat="0">
      <alignment horizontal="center" vertical="center"/>
    </xf>
    <xf numFmtId="184" fontId="89" fillId="41" borderId="0" applyNumberFormat="0" applyAlignment="0" applyProtection="0"/>
    <xf numFmtId="184" fontId="94" fillId="45" borderId="0" applyNumberFormat="0" applyBorder="0" applyAlignment="0" applyProtection="0"/>
    <xf numFmtId="184" fontId="85" fillId="41" borderId="53" applyNumberFormat="0" applyFont="0" applyProtection="0">
      <alignment horizontal="left" vertical="center"/>
    </xf>
    <xf numFmtId="184" fontId="85" fillId="41" borderId="53" applyNumberFormat="0" applyFont="0" applyProtection="0">
      <alignment horizontal="left" vertical="center"/>
    </xf>
    <xf numFmtId="184" fontId="85" fillId="41" borderId="54" applyNumberFormat="0" applyProtection="0">
      <alignment horizontal="center" vertical="center"/>
    </xf>
    <xf numFmtId="184" fontId="85" fillId="41" borderId="54" applyNumberFormat="0" applyProtection="0">
      <alignment horizontal="center" vertical="center"/>
    </xf>
    <xf numFmtId="184" fontId="85" fillId="41" borderId="55" applyNumberFormat="0" applyProtection="0">
      <alignment horizontal="center" vertical="center"/>
    </xf>
    <xf numFmtId="184" fontId="85" fillId="41" borderId="55" applyNumberFormat="0" applyProtection="0">
      <alignment horizontal="center" vertical="center"/>
    </xf>
    <xf numFmtId="184" fontId="85" fillId="41" borderId="56" applyNumberFormat="0" applyProtection="0">
      <alignment horizontal="center" vertical="center"/>
    </xf>
    <xf numFmtId="184" fontId="85" fillId="41" borderId="56" applyNumberFormat="0" applyProtection="0">
      <alignment horizontal="center" vertical="center"/>
    </xf>
    <xf numFmtId="184" fontId="85" fillId="46" borderId="53" applyNumberFormat="0" applyFont="0" applyProtection="0">
      <alignment horizontal="left" vertical="center"/>
    </xf>
    <xf numFmtId="184" fontId="85" fillId="46" borderId="53" applyNumberFormat="0" applyFont="0" applyProtection="0">
      <alignment horizontal="left" vertical="center"/>
    </xf>
    <xf numFmtId="184" fontId="85" fillId="46" borderId="54" applyNumberFormat="0" applyFont="0" applyProtection="0">
      <alignment horizontal="center" vertical="center"/>
    </xf>
    <xf numFmtId="184" fontId="85" fillId="46" borderId="54" applyNumberFormat="0" applyFont="0" applyProtection="0">
      <alignment horizontal="center" vertical="center"/>
    </xf>
    <xf numFmtId="184" fontId="85" fillId="46" borderId="55" applyNumberFormat="0" applyFont="0" applyProtection="0">
      <alignment horizontal="center" vertical="center"/>
    </xf>
    <xf numFmtId="184" fontId="85" fillId="46" borderId="55" applyNumberFormat="0" applyFont="0" applyProtection="0">
      <alignment horizontal="center" vertical="center"/>
    </xf>
    <xf numFmtId="184" fontId="85" fillId="46" borderId="56" applyNumberFormat="0" applyFont="0" applyProtection="0">
      <alignment horizontal="center" vertical="center"/>
    </xf>
    <xf numFmtId="184" fontId="85" fillId="46" borderId="56" applyNumberFormat="0" applyFont="0" applyProtection="0">
      <alignment horizontal="center" vertical="center"/>
    </xf>
    <xf numFmtId="184" fontId="85" fillId="45" borderId="56" applyNumberFormat="0" applyFont="0" applyProtection="0">
      <alignment horizontal="center" vertical="center"/>
    </xf>
    <xf numFmtId="184" fontId="85" fillId="45" borderId="56" applyNumberFormat="0" applyFont="0" applyProtection="0">
      <alignment horizontal="center" vertical="center"/>
    </xf>
    <xf numFmtId="184" fontId="90" fillId="41" borderId="56" applyNumberFormat="0" applyProtection="0">
      <alignment horizontal="center" vertical="center"/>
    </xf>
    <xf numFmtId="184" fontId="90" fillId="46" borderId="56" applyNumberFormat="0" applyProtection="0">
      <alignment horizontal="center" vertical="center"/>
    </xf>
    <xf numFmtId="184" fontId="88" fillId="42" borderId="0" applyNumberFormat="0" applyBorder="0" applyProtection="0">
      <alignment horizontal="center" wrapText="1"/>
    </xf>
    <xf numFmtId="184" fontId="85" fillId="41" borderId="49" applyNumberFormat="0">
      <alignment horizontal="left" vertical="center"/>
    </xf>
    <xf numFmtId="184" fontId="85" fillId="41" borderId="50" applyNumberFormat="0">
      <alignment horizontal="center" vertical="center"/>
    </xf>
    <xf numFmtId="184" fontId="85" fillId="41" borderId="51" applyNumberFormat="0">
      <alignment horizontal="center" vertical="center"/>
    </xf>
    <xf numFmtId="184" fontId="85" fillId="41" borderId="52" applyNumberFormat="0">
      <alignment horizontal="center" vertical="center"/>
    </xf>
    <xf numFmtId="184" fontId="85" fillId="44" borderId="49" applyNumberFormat="0">
      <alignment horizontal="left" vertical="center"/>
    </xf>
    <xf numFmtId="184" fontId="85" fillId="44" borderId="50" applyNumberFormat="0">
      <alignment horizontal="center" vertical="center"/>
    </xf>
    <xf numFmtId="184" fontId="85" fillId="44" borderId="51" applyNumberFormat="0">
      <alignment horizontal="center" vertical="center"/>
    </xf>
    <xf numFmtId="184" fontId="85" fillId="44" borderId="52" applyNumberFormat="0">
      <alignment horizontal="center" vertical="center"/>
    </xf>
    <xf numFmtId="184" fontId="85" fillId="40" borderId="52" applyNumberFormat="0">
      <alignment horizontal="center" vertical="center"/>
    </xf>
    <xf numFmtId="184" fontId="85" fillId="41" borderId="49" applyNumberFormat="0" applyFont="0" applyProtection="0">
      <alignment horizontal="left" vertical="center"/>
    </xf>
    <xf numFmtId="184" fontId="85" fillId="41" borderId="49" applyNumberFormat="0" applyFont="0" applyProtection="0">
      <alignment horizontal="left" vertical="center"/>
    </xf>
    <xf numFmtId="184" fontId="85" fillId="41" borderId="50" applyNumberFormat="0" applyProtection="0">
      <alignment horizontal="center" vertical="center"/>
    </xf>
    <xf numFmtId="184" fontId="85" fillId="41" borderId="50" applyNumberFormat="0" applyProtection="0">
      <alignment horizontal="center" vertical="center"/>
    </xf>
    <xf numFmtId="184" fontId="85" fillId="41" borderId="51" applyNumberFormat="0" applyProtection="0">
      <alignment horizontal="center" vertical="center"/>
    </xf>
    <xf numFmtId="184" fontId="85" fillId="41" borderId="51" applyNumberFormat="0" applyProtection="0">
      <alignment horizontal="center" vertical="center"/>
    </xf>
    <xf numFmtId="184" fontId="85" fillId="41" borderId="52" applyNumberFormat="0" applyProtection="0">
      <alignment horizontal="center" vertical="center"/>
    </xf>
    <xf numFmtId="184" fontId="85" fillId="41" borderId="52" applyNumberFormat="0" applyProtection="0">
      <alignment horizontal="center" vertical="center"/>
    </xf>
    <xf numFmtId="184" fontId="85" fillId="39" borderId="49" applyNumberFormat="0" applyFont="0" applyProtection="0">
      <alignment horizontal="left" vertical="center"/>
    </xf>
    <xf numFmtId="184" fontId="85" fillId="39" borderId="49" applyNumberFormat="0" applyFont="0" applyProtection="0">
      <alignment horizontal="left" vertical="center"/>
    </xf>
    <xf numFmtId="184" fontId="85" fillId="39" borderId="50" applyNumberFormat="0" applyProtection="0">
      <alignment horizontal="center" vertical="center"/>
    </xf>
    <xf numFmtId="184" fontId="85" fillId="39" borderId="50" applyNumberFormat="0" applyProtection="0">
      <alignment horizontal="center" vertical="center"/>
    </xf>
    <xf numFmtId="184" fontId="85" fillId="39" borderId="51" applyNumberFormat="0" applyProtection="0">
      <alignment horizontal="center" vertical="center"/>
    </xf>
    <xf numFmtId="184" fontId="85" fillId="39" borderId="51" applyNumberFormat="0" applyProtection="0">
      <alignment horizontal="center" vertical="center"/>
    </xf>
    <xf numFmtId="184" fontId="85" fillId="39" borderId="52" applyNumberFormat="0" applyProtection="0">
      <alignment horizontal="center" vertical="center"/>
    </xf>
    <xf numFmtId="184" fontId="85" fillId="39" borderId="52" applyNumberFormat="0" applyProtection="0">
      <alignment horizontal="center" vertical="center"/>
    </xf>
    <xf numFmtId="184" fontId="85" fillId="40" borderId="52" applyNumberFormat="0" applyFont="0" applyProtection="0">
      <alignment horizontal="center" vertical="center"/>
    </xf>
    <xf numFmtId="184" fontId="85" fillId="40" borderId="52" applyNumberFormat="0" applyFont="0" applyProtection="0">
      <alignment horizontal="center" vertical="center"/>
    </xf>
    <xf numFmtId="184" fontId="90" fillId="41" borderId="52" applyNumberFormat="0" applyProtection="0">
      <alignment horizontal="center" vertical="center"/>
    </xf>
    <xf numFmtId="184" fontId="90" fillId="39" borderId="52" applyNumberFormat="0" applyProtection="0">
      <alignment horizontal="center" vertical="center"/>
    </xf>
    <xf numFmtId="184" fontId="88" fillId="42" borderId="0" applyNumberFormat="0" applyBorder="0">
      <alignment horizontal="center" wrapText="1"/>
    </xf>
    <xf numFmtId="184" fontId="89" fillId="41" borderId="0" applyNumberFormat="0"/>
    <xf numFmtId="184" fontId="85" fillId="41" borderId="49" applyNumberFormat="0">
      <alignment horizontal="left" vertical="center"/>
    </xf>
    <xf numFmtId="184" fontId="85" fillId="41" borderId="50" applyNumberFormat="0">
      <alignment horizontal="center" vertical="center"/>
    </xf>
    <xf numFmtId="184" fontId="85" fillId="41" borderId="51" applyNumberFormat="0">
      <alignment horizontal="center" vertical="center"/>
    </xf>
    <xf numFmtId="184" fontId="85" fillId="41" borderId="52" applyNumberFormat="0">
      <alignment horizontal="center" vertical="center"/>
    </xf>
    <xf numFmtId="184" fontId="85" fillId="44" borderId="49" applyNumberFormat="0">
      <alignment horizontal="left" vertical="center"/>
    </xf>
    <xf numFmtId="184" fontId="85" fillId="44" borderId="50" applyNumberFormat="0">
      <alignment horizontal="center" vertical="center"/>
    </xf>
    <xf numFmtId="184" fontId="85" fillId="44" borderId="51" applyNumberFormat="0">
      <alignment horizontal="center" vertical="center"/>
    </xf>
    <xf numFmtId="184" fontId="85" fillId="44" borderId="52" applyNumberFormat="0">
      <alignment horizontal="center" vertical="center"/>
    </xf>
    <xf numFmtId="184" fontId="85" fillId="40" borderId="52" applyNumberFormat="0">
      <alignment horizontal="center" vertical="center"/>
    </xf>
    <xf numFmtId="184" fontId="85" fillId="41" borderId="49" applyNumberFormat="0">
      <alignment horizontal="left" vertical="center"/>
    </xf>
    <xf numFmtId="184" fontId="85" fillId="41" borderId="50" applyNumberFormat="0">
      <alignment horizontal="center" vertical="center"/>
    </xf>
    <xf numFmtId="184" fontId="85" fillId="41" borderId="51" applyNumberFormat="0">
      <alignment horizontal="center" vertical="center"/>
    </xf>
    <xf numFmtId="184" fontId="85" fillId="41" borderId="52" applyNumberFormat="0">
      <alignment horizontal="center" vertical="center"/>
    </xf>
    <xf numFmtId="184" fontId="85" fillId="44" borderId="49" applyNumberFormat="0">
      <alignment horizontal="left" vertical="center"/>
    </xf>
    <xf numFmtId="184" fontId="85" fillId="44" borderId="50" applyNumberFormat="0">
      <alignment horizontal="center" vertical="center"/>
    </xf>
    <xf numFmtId="184" fontId="85" fillId="44" borderId="51" applyNumberFormat="0">
      <alignment horizontal="center" vertical="center"/>
    </xf>
    <xf numFmtId="184" fontId="85" fillId="44" borderId="52" applyNumberFormat="0">
      <alignment horizontal="center" vertical="center"/>
    </xf>
    <xf numFmtId="184" fontId="85" fillId="40" borderId="52" applyNumberFormat="0">
      <alignment horizontal="center" vertical="center"/>
    </xf>
    <xf numFmtId="184" fontId="85" fillId="41" borderId="50" applyNumberFormat="0" applyFont="0"/>
    <xf numFmtId="184" fontId="85" fillId="39" borderId="50" applyNumberFormat="0" applyFont="0"/>
    <xf numFmtId="184" fontId="95" fillId="43" borderId="0" applyNumberFormat="0" applyBorder="0" applyAlignment="0" applyProtection="0"/>
    <xf numFmtId="184" fontId="95" fillId="43" borderId="0" applyNumberFormat="0" applyBorder="0" applyAlignment="0" applyProtection="0"/>
    <xf numFmtId="184" fontId="95" fillId="43" borderId="0" applyNumberFormat="0" applyBorder="0" applyAlignment="0" applyProtection="0"/>
    <xf numFmtId="184" fontId="88" fillId="42" borderId="0" applyNumberFormat="0" applyBorder="0">
      <alignment horizontal="center" wrapText="1"/>
    </xf>
    <xf numFmtId="184" fontId="88" fillId="42" borderId="0" applyNumberFormat="0" applyBorder="0">
      <alignment horizontal="center" wrapText="1"/>
    </xf>
    <xf numFmtId="184" fontId="85" fillId="41" borderId="49" applyNumberFormat="0"/>
    <xf numFmtId="184" fontId="85" fillId="41" borderId="50" applyNumberFormat="0"/>
    <xf numFmtId="184" fontId="85" fillId="41" borderId="51" applyNumberFormat="0"/>
    <xf numFmtId="184" fontId="85" fillId="41" borderId="52" applyNumberFormat="0"/>
    <xf numFmtId="184" fontId="85" fillId="39" borderId="49" applyNumberFormat="0"/>
    <xf numFmtId="184" fontId="85" fillId="39" borderId="50" applyNumberFormat="0"/>
    <xf numFmtId="184" fontId="85" fillId="39" borderId="51" applyNumberFormat="0"/>
    <xf numFmtId="184" fontId="85" fillId="39" borderId="52" applyNumberFormat="0"/>
    <xf numFmtId="184" fontId="85" fillId="41" borderId="49" applyNumberFormat="0"/>
    <xf numFmtId="184" fontId="85" fillId="41" borderId="50" applyNumberFormat="0"/>
    <xf numFmtId="184" fontId="85" fillId="41" borderId="51" applyNumberFormat="0"/>
    <xf numFmtId="184" fontId="85" fillId="41" borderId="52" applyNumberFormat="0"/>
    <xf numFmtId="184" fontId="85" fillId="44" borderId="49" applyNumberFormat="0"/>
    <xf numFmtId="184" fontId="85" fillId="44" borderId="50" applyNumberFormat="0"/>
    <xf numFmtId="184" fontId="85" fillId="44" borderId="51" applyNumberFormat="0"/>
    <xf numFmtId="184" fontId="85" fillId="44" borderId="52" applyNumberFormat="0"/>
    <xf numFmtId="184" fontId="88" fillId="42" borderId="0" applyNumberFormat="0" applyBorder="0">
      <alignment horizontal="center" wrapText="1"/>
    </xf>
    <xf numFmtId="184" fontId="85" fillId="41" borderId="49" applyNumberFormat="0">
      <alignment horizontal="left"/>
    </xf>
    <xf numFmtId="184" fontId="85" fillId="41" borderId="50" applyNumberFormat="0"/>
    <xf numFmtId="184" fontId="85" fillId="41" borderId="51" applyNumberFormat="0"/>
    <xf numFmtId="184" fontId="85" fillId="41" borderId="52" applyNumberFormat="0"/>
    <xf numFmtId="184" fontId="85" fillId="44" borderId="49" applyNumberFormat="0">
      <alignment horizontal="left"/>
    </xf>
    <xf numFmtId="184" fontId="85" fillId="44" borderId="50" applyNumberFormat="0"/>
    <xf numFmtId="184" fontId="85" fillId="44" borderId="51" applyNumberFormat="0"/>
    <xf numFmtId="184" fontId="85" fillId="44" borderId="52" applyNumberFormat="0"/>
    <xf numFmtId="184" fontId="88" fillId="42" borderId="0" applyNumberFormat="0" applyBorder="0" applyProtection="0">
      <alignment horizontal="center" wrapText="1"/>
    </xf>
    <xf numFmtId="184" fontId="88" fillId="42" borderId="0" applyNumberFormat="0" applyBorder="0">
      <alignment horizontal="center" wrapText="1"/>
    </xf>
    <xf numFmtId="184" fontId="85" fillId="41" borderId="49" applyNumberFormat="0" applyFont="0" applyProtection="0">
      <alignment horizontal="left"/>
    </xf>
    <xf numFmtId="184" fontId="85" fillId="41" borderId="50" applyNumberFormat="0" applyFont="0" applyAlignment="0" applyProtection="0"/>
    <xf numFmtId="184" fontId="85" fillId="41" borderId="51" applyNumberFormat="0" applyFont="0" applyAlignment="0" applyProtection="0"/>
    <xf numFmtId="184" fontId="85" fillId="41" borderId="52" applyNumberFormat="0" applyFont="0" applyAlignment="0" applyProtection="0"/>
    <xf numFmtId="184" fontId="85" fillId="39" borderId="49" applyNumberFormat="0" applyFont="0" applyProtection="0">
      <alignment horizontal="left"/>
    </xf>
    <xf numFmtId="184" fontId="85" fillId="39" borderId="50" applyNumberFormat="0" applyFont="0" applyAlignment="0" applyProtection="0"/>
    <xf numFmtId="184" fontId="85" fillId="39" borderId="51" applyNumberFormat="0" applyFont="0" applyAlignment="0" applyProtection="0"/>
    <xf numFmtId="184" fontId="85" fillId="39" borderId="52" applyNumberFormat="0" applyFont="0" applyAlignment="0" applyProtection="0"/>
    <xf numFmtId="184" fontId="85" fillId="40" borderId="52" applyNumberFormat="0" applyFont="0" applyProtection="0">
      <alignment horizontal="center" vertical="center"/>
    </xf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9" fillId="41" borderId="0" applyNumberFormat="0" applyAlignment="0" applyProtection="0"/>
    <xf numFmtId="184" fontId="88" fillId="42" borderId="0" applyNumberFormat="0" applyBorder="0" applyProtection="0">
      <alignment horizontal="center" wrapText="1"/>
    </xf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9" fillId="41" borderId="0" applyNumberFormat="0"/>
    <xf numFmtId="184" fontId="85" fillId="41" borderId="49" applyNumberFormat="0">
      <alignment horizontal="left" vertical="center"/>
    </xf>
    <xf numFmtId="184" fontId="85" fillId="41" borderId="50" applyNumberFormat="0">
      <alignment horizontal="center" vertical="center"/>
    </xf>
    <xf numFmtId="184" fontId="85" fillId="41" borderId="51" applyNumberFormat="0">
      <alignment horizontal="center" vertical="center"/>
    </xf>
    <xf numFmtId="184" fontId="85" fillId="41" borderId="52" applyNumberFormat="0">
      <alignment horizontal="center" vertical="center"/>
    </xf>
    <xf numFmtId="184" fontId="85" fillId="44" borderId="49" applyNumberFormat="0">
      <alignment horizontal="left" vertical="center"/>
    </xf>
    <xf numFmtId="184" fontId="85" fillId="44" borderId="50" applyNumberFormat="0">
      <alignment horizontal="center" vertical="center"/>
    </xf>
    <xf numFmtId="184" fontId="85" fillId="44" borderId="51" applyNumberFormat="0">
      <alignment horizontal="center" vertical="center"/>
    </xf>
    <xf numFmtId="184" fontId="85" fillId="44" borderId="52" applyNumberFormat="0">
      <alignment horizontal="center" vertical="center"/>
    </xf>
    <xf numFmtId="184" fontId="85" fillId="40" borderId="52" applyNumberFormat="0">
      <alignment horizontal="center" vertical="center"/>
    </xf>
    <xf numFmtId="184" fontId="88" fillId="42" borderId="0" applyNumberFormat="0" applyBorder="0">
      <alignment horizontal="center" wrapText="1"/>
    </xf>
    <xf numFmtId="184" fontId="85" fillId="41" borderId="49" applyNumberFormat="0" applyFont="0" applyProtection="0">
      <alignment horizontal="left"/>
    </xf>
    <xf numFmtId="184" fontId="85" fillId="41" borderId="50" applyNumberFormat="0" applyFont="0" applyAlignment="0" applyProtection="0"/>
    <xf numFmtId="184" fontId="85" fillId="41" borderId="51" applyNumberFormat="0" applyFont="0" applyAlignment="0" applyProtection="0"/>
    <xf numFmtId="184" fontId="85" fillId="41" borderId="52" applyNumberFormat="0" applyFont="0" applyAlignment="0" applyProtection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96" fillId="0" borderId="0"/>
    <xf numFmtId="184" fontId="96" fillId="0" borderId="0"/>
    <xf numFmtId="170" fontId="96" fillId="0" borderId="0" applyBorder="0"/>
    <xf numFmtId="168" fontId="96" fillId="0" borderId="0" applyBorder="0"/>
    <xf numFmtId="169" fontId="96" fillId="0" borderId="0" applyBorder="0"/>
    <xf numFmtId="167" fontId="96" fillId="0" borderId="0" applyBorder="0"/>
    <xf numFmtId="184" fontId="97" fillId="0" borderId="0" applyNumberFormat="0" applyBorder="0"/>
    <xf numFmtId="184" fontId="98" fillId="0" borderId="0" applyNumberFormat="0" applyBorder="0"/>
    <xf numFmtId="9" fontId="96" fillId="0" borderId="0" applyBorder="0"/>
    <xf numFmtId="184" fontId="97" fillId="0" borderId="0" applyNumberFormat="0" applyBorder="0"/>
    <xf numFmtId="184" fontId="98" fillId="0" borderId="0" applyNumberFormat="0" applyBorder="0"/>
    <xf numFmtId="9" fontId="96" fillId="0" borderId="0" applyBorder="0"/>
    <xf numFmtId="184" fontId="97" fillId="0" borderId="0" applyNumberFormat="0" applyBorder="0"/>
    <xf numFmtId="184" fontId="98" fillId="0" borderId="0" applyNumberFormat="0" applyBorder="0"/>
    <xf numFmtId="9" fontId="96" fillId="0" borderId="0" applyBorder="0"/>
    <xf numFmtId="184" fontId="97" fillId="0" borderId="0" applyNumberFormat="0" applyBorder="0"/>
    <xf numFmtId="184" fontId="98" fillId="0" borderId="0" applyNumberFormat="0" applyBorder="0"/>
    <xf numFmtId="9" fontId="96" fillId="0" borderId="0" applyBorder="0"/>
    <xf numFmtId="184" fontId="97" fillId="0" borderId="0" applyNumberFormat="0" applyBorder="0"/>
    <xf numFmtId="184" fontId="97" fillId="0" borderId="0" applyNumberFormat="0" applyBorder="0" applyAlignment="0" applyProtection="0"/>
    <xf numFmtId="184" fontId="98" fillId="0" borderId="0" applyNumberFormat="0" applyBorder="0" applyAlignment="0" applyProtection="0"/>
    <xf numFmtId="9" fontId="96" fillId="0" borderId="0" applyBorder="0"/>
    <xf numFmtId="184" fontId="98" fillId="0" borderId="0" applyNumberFormat="0" applyBorder="0"/>
    <xf numFmtId="9" fontId="96" fillId="0" borderId="0" applyBorder="0"/>
    <xf numFmtId="9" fontId="96" fillId="0" borderId="0" applyBorder="0"/>
    <xf numFmtId="184" fontId="102" fillId="0" borderId="0" applyNumberFormat="0" applyBorder="0" applyAlignment="0" applyProtection="0"/>
    <xf numFmtId="184" fontId="103" fillId="0" borderId="0" applyNumberFormat="0" applyBorder="0" applyAlignment="0" applyProtection="0"/>
    <xf numFmtId="9" fontId="96" fillId="0" borderId="0" applyFont="0" applyBorder="0"/>
    <xf numFmtId="9" fontId="96" fillId="0" borderId="0" applyFont="0" applyBorder="0"/>
    <xf numFmtId="184" fontId="96" fillId="39" borderId="49" applyNumberFormat="0" applyFont="0" applyProtection="0">
      <alignment horizontal="left"/>
    </xf>
    <xf numFmtId="184" fontId="96" fillId="39" borderId="50" applyNumberFormat="0" applyFont="0" applyAlignment="0" applyProtection="0"/>
    <xf numFmtId="184" fontId="96" fillId="39" borderId="51" applyNumberFormat="0" applyFont="0" applyAlignment="0" applyProtection="0"/>
    <xf numFmtId="184" fontId="96" fillId="39" borderId="52" applyNumberFormat="0" applyFont="0" applyAlignment="0" applyProtection="0"/>
    <xf numFmtId="184" fontId="96" fillId="40" borderId="52" applyNumberFormat="0" applyFont="0" applyProtection="0">
      <alignment horizontal="center" vertical="center"/>
    </xf>
    <xf numFmtId="184" fontId="100" fillId="41" borderId="0" applyNumberFormat="0" applyAlignment="0" applyProtection="0"/>
    <xf numFmtId="184" fontId="99" fillId="42" borderId="0" applyNumberFormat="0" applyBorder="0" applyProtection="0">
      <alignment horizontal="center" wrapText="1"/>
    </xf>
    <xf numFmtId="184" fontId="99" fillId="42" borderId="0" applyNumberFormat="0" applyBorder="0" applyProtection="0">
      <alignment horizontal="center" wrapText="1"/>
    </xf>
    <xf numFmtId="184" fontId="100" fillId="41" borderId="0" applyNumberFormat="0"/>
    <xf numFmtId="184" fontId="96" fillId="41" borderId="49" applyNumberFormat="0">
      <alignment horizontal="left" vertical="center"/>
    </xf>
    <xf numFmtId="184" fontId="96" fillId="41" borderId="50" applyNumberFormat="0">
      <alignment horizontal="center" vertical="center"/>
    </xf>
    <xf numFmtId="184" fontId="96" fillId="41" borderId="51" applyNumberFormat="0">
      <alignment horizontal="center" vertical="center"/>
    </xf>
    <xf numFmtId="184" fontId="96" fillId="41" borderId="49" applyNumberFormat="0" applyFont="0" applyProtection="0">
      <alignment horizontal="left"/>
    </xf>
    <xf numFmtId="184" fontId="96" fillId="41" borderId="50" applyNumberFormat="0" applyFont="0" applyAlignment="0" applyProtection="0"/>
    <xf numFmtId="184" fontId="96" fillId="41" borderId="51" applyNumberFormat="0" applyFont="0" applyAlignment="0" applyProtection="0"/>
    <xf numFmtId="184" fontId="96" fillId="41" borderId="52" applyNumberFormat="0" applyFont="0" applyAlignment="0" applyProtection="0"/>
    <xf numFmtId="184" fontId="96" fillId="39" borderId="49" applyNumberFormat="0" applyFont="0" applyProtection="0">
      <alignment horizontal="left"/>
    </xf>
    <xf numFmtId="184" fontId="96" fillId="39" borderId="50" applyNumberFormat="0" applyFont="0" applyAlignment="0" applyProtection="0"/>
    <xf numFmtId="184" fontId="96" fillId="39" borderId="51" applyNumberFormat="0" applyFont="0" applyAlignment="0" applyProtection="0"/>
    <xf numFmtId="184" fontId="96" fillId="39" borderId="52" applyNumberFormat="0" applyFont="0" applyAlignment="0" applyProtection="0"/>
    <xf numFmtId="184" fontId="96" fillId="40" borderId="52" applyNumberFormat="0" applyFont="0" applyProtection="0">
      <alignment horizontal="center" vertical="center"/>
    </xf>
    <xf numFmtId="184" fontId="101" fillId="39" borderId="52" applyNumberFormat="0" applyProtection="0">
      <alignment horizontal="center" vertical="center"/>
    </xf>
    <xf numFmtId="184" fontId="100" fillId="43" borderId="0" applyNumberFormat="0" applyBorder="0" applyAlignment="0" applyProtection="0"/>
    <xf numFmtId="184" fontId="104" fillId="43" borderId="0" applyNumberFormat="0" applyBorder="0" applyProtection="0">
      <alignment horizontal="center"/>
    </xf>
    <xf numFmtId="184" fontId="100" fillId="41" borderId="0" applyNumberFormat="0" applyAlignment="0" applyProtection="0"/>
    <xf numFmtId="184" fontId="96" fillId="41" borderId="49" applyNumberFormat="0">
      <alignment horizontal="left" vertical="center"/>
    </xf>
    <xf numFmtId="184" fontId="96" fillId="41" borderId="50" applyNumberFormat="0">
      <alignment horizontal="center" vertical="center"/>
    </xf>
    <xf numFmtId="184" fontId="96" fillId="41" borderId="51" applyNumberFormat="0">
      <alignment horizontal="center" vertical="center"/>
    </xf>
    <xf numFmtId="184" fontId="96" fillId="41" borderId="52" applyNumberFormat="0">
      <alignment horizontal="center" vertical="center"/>
    </xf>
    <xf numFmtId="184" fontId="96" fillId="44" borderId="49" applyNumberFormat="0">
      <alignment horizontal="left" vertical="center"/>
    </xf>
    <xf numFmtId="184" fontId="96" fillId="44" borderId="50" applyNumberFormat="0">
      <alignment horizontal="center" vertical="center"/>
    </xf>
    <xf numFmtId="184" fontId="96" fillId="44" borderId="51" applyNumberFormat="0">
      <alignment horizontal="center" vertical="center"/>
    </xf>
    <xf numFmtId="184" fontId="96" fillId="44" borderId="52" applyNumberFormat="0">
      <alignment horizontal="center" vertical="center"/>
    </xf>
    <xf numFmtId="184" fontId="96" fillId="40" borderId="52" applyNumberFormat="0">
      <alignment horizontal="center" vertical="center"/>
    </xf>
    <xf numFmtId="184" fontId="100" fillId="41" borderId="0" applyNumberFormat="0" applyAlignment="0" applyProtection="0"/>
    <xf numFmtId="184" fontId="105" fillId="45" borderId="0" applyNumberFormat="0" applyBorder="0" applyAlignment="0" applyProtection="0"/>
    <xf numFmtId="184" fontId="96" fillId="41" borderId="53" applyNumberFormat="0" applyFont="0" applyProtection="0">
      <alignment horizontal="left" vertical="center"/>
    </xf>
    <xf numFmtId="184" fontId="96" fillId="41" borderId="53" applyNumberFormat="0" applyFont="0" applyProtection="0">
      <alignment horizontal="left" vertical="center"/>
    </xf>
    <xf numFmtId="184" fontId="96" fillId="41" borderId="54" applyNumberFormat="0" applyProtection="0">
      <alignment horizontal="center" vertical="center"/>
    </xf>
    <xf numFmtId="184" fontId="96" fillId="41" borderId="54" applyNumberFormat="0" applyProtection="0">
      <alignment horizontal="center" vertical="center"/>
    </xf>
    <xf numFmtId="184" fontId="96" fillId="41" borderId="55" applyNumberFormat="0" applyProtection="0">
      <alignment horizontal="center" vertical="center"/>
    </xf>
    <xf numFmtId="184" fontId="96" fillId="41" borderId="55" applyNumberFormat="0" applyProtection="0">
      <alignment horizontal="center" vertical="center"/>
    </xf>
    <xf numFmtId="184" fontId="96" fillId="41" borderId="56" applyNumberFormat="0" applyProtection="0">
      <alignment horizontal="center" vertical="center"/>
    </xf>
    <xf numFmtId="184" fontId="96" fillId="41" borderId="56" applyNumberFormat="0" applyProtection="0">
      <alignment horizontal="center" vertical="center"/>
    </xf>
    <xf numFmtId="184" fontId="96" fillId="46" borderId="53" applyNumberFormat="0" applyFont="0" applyProtection="0">
      <alignment horizontal="left" vertical="center"/>
    </xf>
    <xf numFmtId="184" fontId="96" fillId="46" borderId="53" applyNumberFormat="0" applyFont="0" applyProtection="0">
      <alignment horizontal="left" vertical="center"/>
    </xf>
    <xf numFmtId="184" fontId="96" fillId="46" borderId="54" applyNumberFormat="0" applyFont="0" applyProtection="0">
      <alignment horizontal="center" vertical="center"/>
    </xf>
    <xf numFmtId="184" fontId="96" fillId="46" borderId="54" applyNumberFormat="0" applyFont="0" applyProtection="0">
      <alignment horizontal="center" vertical="center"/>
    </xf>
    <xf numFmtId="184" fontId="96" fillId="46" borderId="55" applyNumberFormat="0" applyFont="0" applyProtection="0">
      <alignment horizontal="center" vertical="center"/>
    </xf>
    <xf numFmtId="184" fontId="96" fillId="46" borderId="55" applyNumberFormat="0" applyFont="0" applyProtection="0">
      <alignment horizontal="center" vertical="center"/>
    </xf>
    <xf numFmtId="184" fontId="96" fillId="46" borderId="56" applyNumberFormat="0" applyFont="0" applyProtection="0">
      <alignment horizontal="center" vertical="center"/>
    </xf>
    <xf numFmtId="184" fontId="96" fillId="46" borderId="56" applyNumberFormat="0" applyFont="0" applyProtection="0">
      <alignment horizontal="center" vertical="center"/>
    </xf>
    <xf numFmtId="184" fontId="96" fillId="45" borderId="56" applyNumberFormat="0" applyFont="0" applyProtection="0">
      <alignment horizontal="center" vertical="center"/>
    </xf>
    <xf numFmtId="184" fontId="96" fillId="45" borderId="56" applyNumberFormat="0" applyFont="0" applyProtection="0">
      <alignment horizontal="center" vertical="center"/>
    </xf>
    <xf numFmtId="184" fontId="101" fillId="41" borderId="56" applyNumberFormat="0" applyProtection="0">
      <alignment horizontal="center" vertical="center"/>
    </xf>
    <xf numFmtId="184" fontId="101" fillId="46" borderId="56" applyNumberFormat="0" applyProtection="0">
      <alignment horizontal="center" vertical="center"/>
    </xf>
    <xf numFmtId="184" fontId="99" fillId="42" borderId="0" applyNumberFormat="0" applyBorder="0" applyProtection="0">
      <alignment horizontal="center" wrapText="1"/>
    </xf>
    <xf numFmtId="184" fontId="96" fillId="41" borderId="49" applyNumberFormat="0">
      <alignment horizontal="left" vertical="center"/>
    </xf>
    <xf numFmtId="184" fontId="96" fillId="41" borderId="50" applyNumberFormat="0">
      <alignment horizontal="center" vertical="center"/>
    </xf>
    <xf numFmtId="184" fontId="96" fillId="41" borderId="51" applyNumberFormat="0">
      <alignment horizontal="center" vertical="center"/>
    </xf>
    <xf numFmtId="184" fontId="96" fillId="41" borderId="52" applyNumberFormat="0">
      <alignment horizontal="center" vertical="center"/>
    </xf>
    <xf numFmtId="184" fontId="96" fillId="44" borderId="49" applyNumberFormat="0">
      <alignment horizontal="left" vertical="center"/>
    </xf>
    <xf numFmtId="184" fontId="96" fillId="44" borderId="50" applyNumberFormat="0">
      <alignment horizontal="center" vertical="center"/>
    </xf>
    <xf numFmtId="184" fontId="96" fillId="44" borderId="51" applyNumberFormat="0">
      <alignment horizontal="center" vertical="center"/>
    </xf>
    <xf numFmtId="184" fontId="96" fillId="44" borderId="52" applyNumberFormat="0">
      <alignment horizontal="center" vertical="center"/>
    </xf>
    <xf numFmtId="184" fontId="96" fillId="40" borderId="52" applyNumberFormat="0">
      <alignment horizontal="center" vertical="center"/>
    </xf>
    <xf numFmtId="184" fontId="96" fillId="41" borderId="49" applyNumberFormat="0" applyFont="0" applyProtection="0">
      <alignment horizontal="left" vertical="center"/>
    </xf>
    <xf numFmtId="184" fontId="96" fillId="41" borderId="49" applyNumberFormat="0" applyFont="0" applyProtection="0">
      <alignment horizontal="left" vertical="center"/>
    </xf>
    <xf numFmtId="184" fontId="96" fillId="41" borderId="50" applyNumberFormat="0" applyProtection="0">
      <alignment horizontal="center" vertical="center"/>
    </xf>
    <xf numFmtId="184" fontId="96" fillId="41" borderId="50" applyNumberFormat="0" applyProtection="0">
      <alignment horizontal="center" vertical="center"/>
    </xf>
    <xf numFmtId="184" fontId="96" fillId="41" borderId="51" applyNumberFormat="0" applyProtection="0">
      <alignment horizontal="center" vertical="center"/>
    </xf>
    <xf numFmtId="184" fontId="96" fillId="41" borderId="51" applyNumberFormat="0" applyProtection="0">
      <alignment horizontal="center" vertical="center"/>
    </xf>
    <xf numFmtId="184" fontId="96" fillId="41" borderId="52" applyNumberFormat="0" applyProtection="0">
      <alignment horizontal="center" vertical="center"/>
    </xf>
    <xf numFmtId="184" fontId="96" fillId="41" borderId="52" applyNumberFormat="0" applyProtection="0">
      <alignment horizontal="center" vertical="center"/>
    </xf>
    <xf numFmtId="184" fontId="96" fillId="39" borderId="49" applyNumberFormat="0" applyFont="0" applyProtection="0">
      <alignment horizontal="left" vertical="center"/>
    </xf>
    <xf numFmtId="184" fontId="96" fillId="39" borderId="49" applyNumberFormat="0" applyFont="0" applyProtection="0">
      <alignment horizontal="left" vertical="center"/>
    </xf>
    <xf numFmtId="184" fontId="96" fillId="39" borderId="50" applyNumberFormat="0" applyProtection="0">
      <alignment horizontal="center" vertical="center"/>
    </xf>
    <xf numFmtId="184" fontId="96" fillId="39" borderId="50" applyNumberFormat="0" applyProtection="0">
      <alignment horizontal="center" vertical="center"/>
    </xf>
    <xf numFmtId="184" fontId="96" fillId="39" borderId="51" applyNumberFormat="0" applyProtection="0">
      <alignment horizontal="center" vertical="center"/>
    </xf>
    <xf numFmtId="184" fontId="96" fillId="39" borderId="51" applyNumberFormat="0" applyProtection="0">
      <alignment horizontal="center" vertical="center"/>
    </xf>
    <xf numFmtId="184" fontId="96" fillId="39" borderId="52" applyNumberFormat="0" applyProtection="0">
      <alignment horizontal="center" vertical="center"/>
    </xf>
    <xf numFmtId="184" fontId="96" fillId="39" borderId="52" applyNumberFormat="0" applyProtection="0">
      <alignment horizontal="center" vertical="center"/>
    </xf>
    <xf numFmtId="184" fontId="96" fillId="40" borderId="52" applyNumberFormat="0" applyFont="0" applyProtection="0">
      <alignment horizontal="center" vertical="center"/>
    </xf>
    <xf numFmtId="184" fontId="96" fillId="40" borderId="52" applyNumberFormat="0" applyFont="0" applyProtection="0">
      <alignment horizontal="center" vertical="center"/>
    </xf>
    <xf numFmtId="184" fontId="101" fillId="41" borderId="52" applyNumberFormat="0" applyProtection="0">
      <alignment horizontal="center" vertical="center"/>
    </xf>
    <xf numFmtId="184" fontId="101" fillId="39" borderId="52" applyNumberFormat="0" applyProtection="0">
      <alignment horizontal="center" vertical="center"/>
    </xf>
    <xf numFmtId="184" fontId="99" fillId="42" borderId="0" applyNumberFormat="0" applyBorder="0">
      <alignment horizontal="center" wrapText="1"/>
    </xf>
    <xf numFmtId="184" fontId="100" fillId="41" borderId="0" applyNumberFormat="0"/>
    <xf numFmtId="184" fontId="96" fillId="41" borderId="49" applyNumberFormat="0">
      <alignment horizontal="left" vertical="center"/>
    </xf>
    <xf numFmtId="184" fontId="96" fillId="41" borderId="50" applyNumberFormat="0">
      <alignment horizontal="center" vertical="center"/>
    </xf>
    <xf numFmtId="184" fontId="96" fillId="41" borderId="51" applyNumberFormat="0">
      <alignment horizontal="center" vertical="center"/>
    </xf>
    <xf numFmtId="184" fontId="96" fillId="41" borderId="52" applyNumberFormat="0">
      <alignment horizontal="center" vertical="center"/>
    </xf>
    <xf numFmtId="184" fontId="96" fillId="44" borderId="49" applyNumberFormat="0">
      <alignment horizontal="left" vertical="center"/>
    </xf>
    <xf numFmtId="184" fontId="96" fillId="44" borderId="50" applyNumberFormat="0">
      <alignment horizontal="center" vertical="center"/>
    </xf>
    <xf numFmtId="184" fontId="96" fillId="44" borderId="51" applyNumberFormat="0">
      <alignment horizontal="center" vertical="center"/>
    </xf>
    <xf numFmtId="184" fontId="96" fillId="44" borderId="52" applyNumberFormat="0">
      <alignment horizontal="center" vertical="center"/>
    </xf>
    <xf numFmtId="184" fontId="96" fillId="40" borderId="52" applyNumberFormat="0">
      <alignment horizontal="center" vertical="center"/>
    </xf>
    <xf numFmtId="184" fontId="96" fillId="41" borderId="49" applyNumberFormat="0">
      <alignment horizontal="left" vertical="center"/>
    </xf>
    <xf numFmtId="184" fontId="96" fillId="41" borderId="50" applyNumberFormat="0">
      <alignment horizontal="center" vertical="center"/>
    </xf>
    <xf numFmtId="184" fontId="96" fillId="41" borderId="51" applyNumberFormat="0">
      <alignment horizontal="center" vertical="center"/>
    </xf>
    <xf numFmtId="184" fontId="96" fillId="41" borderId="52" applyNumberFormat="0">
      <alignment horizontal="center" vertical="center"/>
    </xf>
    <xf numFmtId="184" fontId="96" fillId="44" borderId="49" applyNumberFormat="0">
      <alignment horizontal="left" vertical="center"/>
    </xf>
    <xf numFmtId="184" fontId="96" fillId="44" borderId="50" applyNumberFormat="0">
      <alignment horizontal="center" vertical="center"/>
    </xf>
    <xf numFmtId="184" fontId="96" fillId="44" borderId="51" applyNumberFormat="0">
      <alignment horizontal="center" vertical="center"/>
    </xf>
    <xf numFmtId="184" fontId="96" fillId="44" borderId="52" applyNumberFormat="0">
      <alignment horizontal="center" vertical="center"/>
    </xf>
    <xf numFmtId="184" fontId="96" fillId="40" borderId="52" applyNumberFormat="0">
      <alignment horizontal="center" vertical="center"/>
    </xf>
    <xf numFmtId="184" fontId="96" fillId="41" borderId="50" applyNumberFormat="0" applyFont="0"/>
    <xf numFmtId="184" fontId="96" fillId="39" borderId="50" applyNumberFormat="0" applyFont="0"/>
    <xf numFmtId="184" fontId="106" fillId="43" borderId="0" applyNumberFormat="0" applyBorder="0" applyAlignment="0" applyProtection="0"/>
    <xf numFmtId="184" fontId="106" fillId="43" borderId="0" applyNumberFormat="0" applyBorder="0" applyAlignment="0" applyProtection="0"/>
    <xf numFmtId="184" fontId="106" fillId="43" borderId="0" applyNumberFormat="0" applyBorder="0" applyAlignment="0" applyProtection="0"/>
    <xf numFmtId="184" fontId="99" fillId="42" borderId="0" applyNumberFormat="0" applyBorder="0">
      <alignment horizontal="center" wrapText="1"/>
    </xf>
    <xf numFmtId="184" fontId="99" fillId="42" borderId="0" applyNumberFormat="0" applyBorder="0">
      <alignment horizontal="center" wrapText="1"/>
    </xf>
    <xf numFmtId="184" fontId="96" fillId="41" borderId="49" applyNumberFormat="0"/>
    <xf numFmtId="184" fontId="96" fillId="41" borderId="50" applyNumberFormat="0"/>
    <xf numFmtId="184" fontId="96" fillId="41" borderId="51" applyNumberFormat="0"/>
    <xf numFmtId="184" fontId="96" fillId="41" borderId="52" applyNumberFormat="0"/>
    <xf numFmtId="184" fontId="96" fillId="39" borderId="49" applyNumberFormat="0"/>
    <xf numFmtId="184" fontId="96" fillId="39" borderId="50" applyNumberFormat="0"/>
    <xf numFmtId="184" fontId="96" fillId="39" borderId="51" applyNumberFormat="0"/>
    <xf numFmtId="184" fontId="96" fillId="39" borderId="52" applyNumberFormat="0"/>
    <xf numFmtId="184" fontId="96" fillId="41" borderId="49" applyNumberFormat="0"/>
    <xf numFmtId="184" fontId="96" fillId="41" borderId="50" applyNumberFormat="0"/>
    <xf numFmtId="184" fontId="96" fillId="41" borderId="51" applyNumberFormat="0"/>
    <xf numFmtId="184" fontId="96" fillId="41" borderId="52" applyNumberFormat="0"/>
    <xf numFmtId="184" fontId="96" fillId="44" borderId="49" applyNumberFormat="0"/>
    <xf numFmtId="184" fontId="96" fillId="44" borderId="50" applyNumberFormat="0"/>
    <xf numFmtId="184" fontId="96" fillId="44" borderId="51" applyNumberFormat="0"/>
    <xf numFmtId="184" fontId="96" fillId="44" borderId="52" applyNumberFormat="0"/>
    <xf numFmtId="184" fontId="99" fillId="42" borderId="0" applyNumberFormat="0" applyBorder="0">
      <alignment horizontal="center" wrapText="1"/>
    </xf>
    <xf numFmtId="184" fontId="96" fillId="41" borderId="49" applyNumberFormat="0">
      <alignment horizontal="left"/>
    </xf>
    <xf numFmtId="184" fontId="96" fillId="41" borderId="50" applyNumberFormat="0"/>
    <xf numFmtId="184" fontId="96" fillId="41" borderId="51" applyNumberFormat="0"/>
    <xf numFmtId="184" fontId="96" fillId="41" borderId="52" applyNumberFormat="0"/>
    <xf numFmtId="184" fontId="96" fillId="44" borderId="49" applyNumberFormat="0">
      <alignment horizontal="left"/>
    </xf>
    <xf numFmtId="184" fontId="96" fillId="44" borderId="50" applyNumberFormat="0"/>
    <xf numFmtId="184" fontId="96" fillId="44" borderId="51" applyNumberFormat="0"/>
    <xf numFmtId="184" fontId="96" fillId="44" borderId="52" applyNumberFormat="0"/>
    <xf numFmtId="184" fontId="99" fillId="42" borderId="0" applyNumberFormat="0" applyBorder="0" applyProtection="0">
      <alignment horizontal="center" wrapText="1"/>
    </xf>
    <xf numFmtId="184" fontId="99" fillId="42" borderId="0" applyNumberFormat="0" applyBorder="0">
      <alignment horizontal="center" wrapText="1"/>
    </xf>
    <xf numFmtId="184" fontId="96" fillId="41" borderId="49" applyNumberFormat="0" applyFont="0" applyProtection="0">
      <alignment horizontal="left"/>
    </xf>
    <xf numFmtId="184" fontId="96" fillId="41" borderId="50" applyNumberFormat="0" applyFont="0" applyAlignment="0" applyProtection="0"/>
    <xf numFmtId="184" fontId="96" fillId="41" borderId="51" applyNumberFormat="0" applyFont="0" applyAlignment="0" applyProtection="0"/>
    <xf numFmtId="184" fontId="96" fillId="41" borderId="52" applyNumberFormat="0" applyFont="0" applyAlignment="0" applyProtection="0"/>
    <xf numFmtId="184" fontId="96" fillId="39" borderId="49" applyNumberFormat="0" applyFont="0" applyProtection="0">
      <alignment horizontal="left"/>
    </xf>
    <xf numFmtId="184" fontId="96" fillId="39" borderId="50" applyNumberFormat="0" applyFont="0" applyAlignment="0" applyProtection="0"/>
    <xf numFmtId="184" fontId="96" fillId="39" borderId="51" applyNumberFormat="0" applyFont="0" applyAlignment="0" applyProtection="0"/>
    <xf numFmtId="184" fontId="96" fillId="39" borderId="52" applyNumberFormat="0" applyFont="0" applyAlignment="0" applyProtection="0"/>
    <xf numFmtId="184" fontId="96" fillId="40" borderId="52" applyNumberFormat="0" applyFont="0" applyProtection="0">
      <alignment horizontal="center" vertical="center"/>
    </xf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100" fillId="41" borderId="0" applyNumberFormat="0" applyAlignment="0" applyProtection="0"/>
    <xf numFmtId="184" fontId="99" fillId="42" borderId="0" applyNumberFormat="0" applyBorder="0" applyProtection="0">
      <alignment horizontal="center" wrapText="1"/>
    </xf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100" fillId="41" borderId="0" applyNumberFormat="0"/>
    <xf numFmtId="184" fontId="96" fillId="41" borderId="49" applyNumberFormat="0">
      <alignment horizontal="left" vertical="center"/>
    </xf>
    <xf numFmtId="184" fontId="96" fillId="41" borderId="50" applyNumberFormat="0">
      <alignment horizontal="center" vertical="center"/>
    </xf>
    <xf numFmtId="184" fontId="96" fillId="41" borderId="51" applyNumberFormat="0">
      <alignment horizontal="center" vertical="center"/>
    </xf>
    <xf numFmtId="184" fontId="96" fillId="41" borderId="52" applyNumberFormat="0">
      <alignment horizontal="center" vertical="center"/>
    </xf>
    <xf numFmtId="184" fontId="96" fillId="44" borderId="49" applyNumberFormat="0">
      <alignment horizontal="left" vertical="center"/>
    </xf>
    <xf numFmtId="184" fontId="96" fillId="44" borderId="50" applyNumberFormat="0">
      <alignment horizontal="center" vertical="center"/>
    </xf>
    <xf numFmtId="184" fontId="96" fillId="44" borderId="51" applyNumberFormat="0">
      <alignment horizontal="center" vertical="center"/>
    </xf>
    <xf numFmtId="184" fontId="96" fillId="44" borderId="52" applyNumberFormat="0">
      <alignment horizontal="center" vertical="center"/>
    </xf>
    <xf numFmtId="184" fontId="96" fillId="40" borderId="52" applyNumberFormat="0">
      <alignment horizontal="center" vertical="center"/>
    </xf>
    <xf numFmtId="184" fontId="99" fillId="42" borderId="0" applyNumberFormat="0" applyBorder="0">
      <alignment horizontal="center" wrapText="1"/>
    </xf>
    <xf numFmtId="184" fontId="96" fillId="41" borderId="49" applyNumberFormat="0" applyFont="0" applyProtection="0">
      <alignment horizontal="left"/>
    </xf>
    <xf numFmtId="184" fontId="96" fillId="41" borderId="50" applyNumberFormat="0" applyFont="0" applyAlignment="0" applyProtection="0"/>
    <xf numFmtId="184" fontId="96" fillId="41" borderId="51" applyNumberFormat="0" applyFont="0" applyAlignment="0" applyProtection="0"/>
    <xf numFmtId="184" fontId="96" fillId="41" borderId="52" applyNumberFormat="0" applyFont="0" applyAlignment="0" applyProtection="0"/>
    <xf numFmtId="184" fontId="107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08" fillId="0" borderId="0"/>
    <xf numFmtId="184" fontId="1" fillId="0" borderId="0"/>
    <xf numFmtId="184" fontId="1" fillId="0" borderId="0"/>
    <xf numFmtId="184" fontId="1" fillId="0" borderId="0"/>
    <xf numFmtId="184" fontId="108" fillId="0" borderId="0"/>
    <xf numFmtId="170" fontId="108" fillId="0" borderId="0" applyBorder="0"/>
    <xf numFmtId="168" fontId="108" fillId="0" borderId="0" applyBorder="0"/>
    <xf numFmtId="169" fontId="108" fillId="0" borderId="0" applyBorder="0"/>
    <xf numFmtId="167" fontId="108" fillId="0" borderId="0" applyBorder="0"/>
    <xf numFmtId="184" fontId="109" fillId="0" borderId="0" applyNumberFormat="0" applyBorder="0"/>
    <xf numFmtId="184" fontId="110" fillId="0" borderId="0" applyNumberFormat="0" applyBorder="0"/>
    <xf numFmtId="9" fontId="108" fillId="0" borderId="0" applyBorder="0"/>
    <xf numFmtId="184" fontId="109" fillId="0" borderId="0" applyNumberFormat="0" applyBorder="0"/>
    <xf numFmtId="184" fontId="110" fillId="0" borderId="0" applyNumberFormat="0" applyBorder="0"/>
    <xf numFmtId="9" fontId="108" fillId="0" borderId="0" applyBorder="0"/>
    <xf numFmtId="184" fontId="109" fillId="0" borderId="0" applyNumberFormat="0" applyBorder="0"/>
    <xf numFmtId="184" fontId="110" fillId="0" borderId="0" applyNumberFormat="0" applyBorder="0"/>
    <xf numFmtId="9" fontId="108" fillId="0" borderId="0" applyBorder="0"/>
    <xf numFmtId="184" fontId="109" fillId="0" borderId="0" applyNumberFormat="0" applyBorder="0"/>
    <xf numFmtId="184" fontId="110" fillId="0" borderId="0" applyNumberFormat="0" applyBorder="0"/>
    <xf numFmtId="9" fontId="108" fillId="0" borderId="0" applyBorder="0"/>
    <xf numFmtId="184" fontId="109" fillId="0" borderId="0" applyNumberFormat="0" applyBorder="0"/>
    <xf numFmtId="184" fontId="109" fillId="0" borderId="0" applyNumberFormat="0" applyBorder="0" applyAlignment="0" applyProtection="0"/>
    <xf numFmtId="184" fontId="110" fillId="0" borderId="0" applyNumberFormat="0" applyBorder="0" applyAlignment="0" applyProtection="0"/>
    <xf numFmtId="9" fontId="108" fillId="0" borderId="0" applyBorder="0"/>
    <xf numFmtId="184" fontId="110" fillId="0" borderId="0" applyNumberFormat="0" applyBorder="0"/>
    <xf numFmtId="9" fontId="108" fillId="0" borderId="0" applyBorder="0"/>
    <xf numFmtId="9" fontId="108" fillId="0" borderId="0" applyBorder="0"/>
    <xf numFmtId="184" fontId="114" fillId="0" borderId="0" applyNumberFormat="0" applyBorder="0" applyAlignment="0" applyProtection="0"/>
    <xf numFmtId="184" fontId="115" fillId="0" borderId="0" applyNumberFormat="0" applyBorder="0" applyAlignment="0" applyProtection="0"/>
    <xf numFmtId="9" fontId="108" fillId="0" borderId="0" applyFont="0" applyBorder="0"/>
    <xf numFmtId="9" fontId="108" fillId="0" borderId="0" applyFont="0" applyBorder="0"/>
    <xf numFmtId="184" fontId="108" fillId="39" borderId="49" applyNumberFormat="0" applyFont="0" applyProtection="0">
      <alignment horizontal="left"/>
    </xf>
    <xf numFmtId="184" fontId="108" fillId="39" borderId="50" applyNumberFormat="0" applyFont="0" applyAlignment="0" applyProtection="0"/>
    <xf numFmtId="184" fontId="108" fillId="39" borderId="51" applyNumberFormat="0" applyFont="0" applyAlignment="0" applyProtection="0"/>
    <xf numFmtId="184" fontId="108" fillId="39" borderId="52" applyNumberFormat="0" applyFont="0" applyAlignment="0" applyProtection="0"/>
    <xf numFmtId="184" fontId="108" fillId="40" borderId="52" applyNumberFormat="0" applyFont="0" applyProtection="0">
      <alignment horizontal="center" vertical="center"/>
    </xf>
    <xf numFmtId="184" fontId="112" fillId="41" borderId="0" applyNumberFormat="0" applyAlignment="0" applyProtection="0"/>
    <xf numFmtId="184" fontId="111" fillId="42" borderId="0" applyNumberFormat="0" applyBorder="0" applyProtection="0">
      <alignment horizontal="center" wrapText="1"/>
    </xf>
    <xf numFmtId="184" fontId="111" fillId="42" borderId="0" applyNumberFormat="0" applyBorder="0" applyProtection="0">
      <alignment horizontal="center" wrapText="1"/>
    </xf>
    <xf numFmtId="184" fontId="112" fillId="41" borderId="0" applyNumberFormat="0"/>
    <xf numFmtId="184" fontId="108" fillId="41" borderId="49" applyNumberFormat="0">
      <alignment horizontal="left" vertical="center"/>
    </xf>
    <xf numFmtId="184" fontId="108" fillId="41" borderId="50" applyNumberFormat="0">
      <alignment horizontal="center" vertical="center"/>
    </xf>
    <xf numFmtId="184" fontId="108" fillId="41" borderId="51" applyNumberFormat="0">
      <alignment horizontal="center" vertical="center"/>
    </xf>
    <xf numFmtId="184" fontId="108" fillId="41" borderId="49" applyNumberFormat="0" applyFont="0" applyProtection="0">
      <alignment horizontal="left"/>
    </xf>
    <xf numFmtId="184" fontId="108" fillId="41" borderId="50" applyNumberFormat="0" applyFont="0" applyAlignment="0" applyProtection="0"/>
    <xf numFmtId="184" fontId="108" fillId="41" borderId="51" applyNumberFormat="0" applyFont="0" applyAlignment="0" applyProtection="0"/>
    <xf numFmtId="184" fontId="108" fillId="41" borderId="52" applyNumberFormat="0" applyFont="0" applyAlignment="0" applyProtection="0"/>
    <xf numFmtId="184" fontId="108" fillId="39" borderId="49" applyNumberFormat="0" applyFont="0" applyProtection="0">
      <alignment horizontal="left"/>
    </xf>
    <xf numFmtId="184" fontId="108" fillId="39" borderId="50" applyNumberFormat="0" applyFont="0" applyAlignment="0" applyProtection="0"/>
    <xf numFmtId="184" fontId="108" fillId="39" borderId="51" applyNumberFormat="0" applyFont="0" applyAlignment="0" applyProtection="0"/>
    <xf numFmtId="184" fontId="108" fillId="39" borderId="52" applyNumberFormat="0" applyFont="0" applyAlignment="0" applyProtection="0"/>
    <xf numFmtId="184" fontId="108" fillId="40" borderId="52" applyNumberFormat="0" applyFont="0" applyProtection="0">
      <alignment horizontal="center" vertical="center"/>
    </xf>
    <xf numFmtId="184" fontId="113" fillId="39" borderId="52" applyNumberFormat="0" applyProtection="0">
      <alignment horizontal="center" vertical="center"/>
    </xf>
    <xf numFmtId="184" fontId="112" fillId="43" borderId="0" applyNumberFormat="0" applyBorder="0" applyAlignment="0" applyProtection="0"/>
    <xf numFmtId="184" fontId="116" fillId="43" borderId="0" applyNumberFormat="0" applyBorder="0" applyProtection="0">
      <alignment horizontal="center"/>
    </xf>
    <xf numFmtId="184" fontId="112" fillId="41" borderId="0" applyNumberFormat="0" applyAlignment="0" applyProtection="0"/>
    <xf numFmtId="184" fontId="108" fillId="41" borderId="49" applyNumberFormat="0">
      <alignment horizontal="left" vertical="center"/>
    </xf>
    <xf numFmtId="184" fontId="108" fillId="41" borderId="50" applyNumberFormat="0">
      <alignment horizontal="center" vertical="center"/>
    </xf>
    <xf numFmtId="184" fontId="108" fillId="41" borderId="51" applyNumberFormat="0">
      <alignment horizontal="center" vertical="center"/>
    </xf>
    <xf numFmtId="184" fontId="108" fillId="41" borderId="52" applyNumberFormat="0">
      <alignment horizontal="center" vertical="center"/>
    </xf>
    <xf numFmtId="184" fontId="108" fillId="44" borderId="49" applyNumberFormat="0">
      <alignment horizontal="left" vertical="center"/>
    </xf>
    <xf numFmtId="184" fontId="108" fillId="44" borderId="50" applyNumberFormat="0">
      <alignment horizontal="center" vertical="center"/>
    </xf>
    <xf numFmtId="184" fontId="108" fillId="44" borderId="51" applyNumberFormat="0">
      <alignment horizontal="center" vertical="center"/>
    </xf>
    <xf numFmtId="184" fontId="108" fillId="44" borderId="52" applyNumberFormat="0">
      <alignment horizontal="center" vertical="center"/>
    </xf>
    <xf numFmtId="184" fontId="108" fillId="40" borderId="52" applyNumberFormat="0">
      <alignment horizontal="center" vertical="center"/>
    </xf>
    <xf numFmtId="184" fontId="112" fillId="41" borderId="0" applyNumberFormat="0" applyAlignment="0" applyProtection="0"/>
    <xf numFmtId="184" fontId="117" fillId="45" borderId="0" applyNumberFormat="0" applyBorder="0" applyAlignment="0" applyProtection="0"/>
    <xf numFmtId="184" fontId="108" fillId="41" borderId="53" applyNumberFormat="0" applyFont="0" applyProtection="0">
      <alignment horizontal="left" vertical="center"/>
    </xf>
    <xf numFmtId="184" fontId="108" fillId="41" borderId="53" applyNumberFormat="0" applyFont="0" applyProtection="0">
      <alignment horizontal="left" vertical="center"/>
    </xf>
    <xf numFmtId="184" fontId="108" fillId="41" borderId="54" applyNumberFormat="0" applyProtection="0">
      <alignment horizontal="center" vertical="center"/>
    </xf>
    <xf numFmtId="184" fontId="108" fillId="41" borderId="54" applyNumberFormat="0" applyProtection="0">
      <alignment horizontal="center" vertical="center"/>
    </xf>
    <xf numFmtId="184" fontId="108" fillId="41" borderId="55" applyNumberFormat="0" applyProtection="0">
      <alignment horizontal="center" vertical="center"/>
    </xf>
    <xf numFmtId="184" fontId="108" fillId="41" borderId="55" applyNumberFormat="0" applyProtection="0">
      <alignment horizontal="center" vertical="center"/>
    </xf>
    <xf numFmtId="184" fontId="108" fillId="41" borderId="56" applyNumberFormat="0" applyProtection="0">
      <alignment horizontal="center" vertical="center"/>
    </xf>
    <xf numFmtId="184" fontId="108" fillId="41" borderId="56" applyNumberFormat="0" applyProtection="0">
      <alignment horizontal="center" vertical="center"/>
    </xf>
    <xf numFmtId="184" fontId="108" fillId="46" borderId="53" applyNumberFormat="0" applyFont="0" applyProtection="0">
      <alignment horizontal="left" vertical="center"/>
    </xf>
    <xf numFmtId="184" fontId="108" fillId="46" borderId="53" applyNumberFormat="0" applyFont="0" applyProtection="0">
      <alignment horizontal="left" vertical="center"/>
    </xf>
    <xf numFmtId="184" fontId="108" fillId="46" borderId="54" applyNumberFormat="0" applyFont="0" applyProtection="0">
      <alignment horizontal="center" vertical="center"/>
    </xf>
    <xf numFmtId="184" fontId="108" fillId="46" borderId="54" applyNumberFormat="0" applyFont="0" applyProtection="0">
      <alignment horizontal="center" vertical="center"/>
    </xf>
    <xf numFmtId="184" fontId="108" fillId="46" borderId="55" applyNumberFormat="0" applyFont="0" applyProtection="0">
      <alignment horizontal="center" vertical="center"/>
    </xf>
    <xf numFmtId="184" fontId="108" fillId="46" borderId="55" applyNumberFormat="0" applyFont="0" applyProtection="0">
      <alignment horizontal="center" vertical="center"/>
    </xf>
    <xf numFmtId="184" fontId="108" fillId="46" borderId="56" applyNumberFormat="0" applyFont="0" applyProtection="0">
      <alignment horizontal="center" vertical="center"/>
    </xf>
    <xf numFmtId="184" fontId="108" fillId="46" borderId="56" applyNumberFormat="0" applyFont="0" applyProtection="0">
      <alignment horizontal="center" vertical="center"/>
    </xf>
    <xf numFmtId="184" fontId="108" fillId="45" borderId="56" applyNumberFormat="0" applyFont="0" applyProtection="0">
      <alignment horizontal="center" vertical="center"/>
    </xf>
    <xf numFmtId="184" fontId="108" fillId="45" borderId="56" applyNumberFormat="0" applyFont="0" applyProtection="0">
      <alignment horizontal="center" vertical="center"/>
    </xf>
    <xf numFmtId="184" fontId="113" fillId="41" borderId="56" applyNumberFormat="0" applyProtection="0">
      <alignment horizontal="center" vertical="center"/>
    </xf>
    <xf numFmtId="184" fontId="113" fillId="46" borderId="56" applyNumberFormat="0" applyProtection="0">
      <alignment horizontal="center" vertical="center"/>
    </xf>
    <xf numFmtId="184" fontId="111" fillId="42" borderId="0" applyNumberFormat="0" applyBorder="0" applyProtection="0">
      <alignment horizontal="center" wrapText="1"/>
    </xf>
    <xf numFmtId="184" fontId="108" fillId="41" borderId="49" applyNumberFormat="0">
      <alignment horizontal="left" vertical="center"/>
    </xf>
    <xf numFmtId="184" fontId="108" fillId="41" borderId="50" applyNumberFormat="0">
      <alignment horizontal="center" vertical="center"/>
    </xf>
    <xf numFmtId="184" fontId="108" fillId="41" borderId="51" applyNumberFormat="0">
      <alignment horizontal="center" vertical="center"/>
    </xf>
    <xf numFmtId="184" fontId="108" fillId="41" borderId="52" applyNumberFormat="0">
      <alignment horizontal="center" vertical="center"/>
    </xf>
    <xf numFmtId="184" fontId="108" fillId="44" borderId="49" applyNumberFormat="0">
      <alignment horizontal="left" vertical="center"/>
    </xf>
    <xf numFmtId="184" fontId="108" fillId="44" borderId="50" applyNumberFormat="0">
      <alignment horizontal="center" vertical="center"/>
    </xf>
    <xf numFmtId="184" fontId="108" fillId="44" borderId="51" applyNumberFormat="0">
      <alignment horizontal="center" vertical="center"/>
    </xf>
    <xf numFmtId="184" fontId="108" fillId="44" borderId="52" applyNumberFormat="0">
      <alignment horizontal="center" vertical="center"/>
    </xf>
    <xf numFmtId="184" fontId="108" fillId="40" borderId="52" applyNumberFormat="0">
      <alignment horizontal="center" vertical="center"/>
    </xf>
    <xf numFmtId="184" fontId="108" fillId="41" borderId="49" applyNumberFormat="0" applyFont="0" applyProtection="0">
      <alignment horizontal="left" vertical="center"/>
    </xf>
    <xf numFmtId="184" fontId="108" fillId="41" borderId="49" applyNumberFormat="0" applyFont="0" applyProtection="0">
      <alignment horizontal="left" vertical="center"/>
    </xf>
    <xf numFmtId="184" fontId="108" fillId="41" borderId="50" applyNumberFormat="0" applyProtection="0">
      <alignment horizontal="center" vertical="center"/>
    </xf>
    <xf numFmtId="184" fontId="108" fillId="41" borderId="50" applyNumberFormat="0" applyProtection="0">
      <alignment horizontal="center" vertical="center"/>
    </xf>
    <xf numFmtId="184" fontId="108" fillId="41" borderId="51" applyNumberFormat="0" applyProtection="0">
      <alignment horizontal="center" vertical="center"/>
    </xf>
    <xf numFmtId="184" fontId="108" fillId="41" borderId="51" applyNumberFormat="0" applyProtection="0">
      <alignment horizontal="center" vertical="center"/>
    </xf>
    <xf numFmtId="184" fontId="108" fillId="41" borderId="52" applyNumberFormat="0" applyProtection="0">
      <alignment horizontal="center" vertical="center"/>
    </xf>
    <xf numFmtId="184" fontId="108" fillId="41" borderId="52" applyNumberFormat="0" applyProtection="0">
      <alignment horizontal="center" vertical="center"/>
    </xf>
    <xf numFmtId="184" fontId="108" fillId="39" borderId="49" applyNumberFormat="0" applyFont="0" applyProtection="0">
      <alignment horizontal="left" vertical="center"/>
    </xf>
    <xf numFmtId="184" fontId="108" fillId="39" borderId="49" applyNumberFormat="0" applyFont="0" applyProtection="0">
      <alignment horizontal="left" vertical="center"/>
    </xf>
    <xf numFmtId="184" fontId="108" fillId="39" borderId="50" applyNumberFormat="0" applyProtection="0">
      <alignment horizontal="center" vertical="center"/>
    </xf>
    <xf numFmtId="184" fontId="108" fillId="39" borderId="50" applyNumberFormat="0" applyProtection="0">
      <alignment horizontal="center" vertical="center"/>
    </xf>
    <xf numFmtId="184" fontId="108" fillId="39" borderId="51" applyNumberFormat="0" applyProtection="0">
      <alignment horizontal="center" vertical="center"/>
    </xf>
    <xf numFmtId="184" fontId="108" fillId="39" borderId="51" applyNumberFormat="0" applyProtection="0">
      <alignment horizontal="center" vertical="center"/>
    </xf>
    <xf numFmtId="184" fontId="108" fillId="39" borderId="52" applyNumberFormat="0" applyProtection="0">
      <alignment horizontal="center" vertical="center"/>
    </xf>
    <xf numFmtId="184" fontId="108" fillId="39" borderId="52" applyNumberFormat="0" applyProtection="0">
      <alignment horizontal="center" vertical="center"/>
    </xf>
    <xf numFmtId="184" fontId="108" fillId="40" borderId="52" applyNumberFormat="0" applyFont="0" applyProtection="0">
      <alignment horizontal="center" vertical="center"/>
    </xf>
    <xf numFmtId="184" fontId="108" fillId="40" borderId="52" applyNumberFormat="0" applyFont="0" applyProtection="0">
      <alignment horizontal="center" vertical="center"/>
    </xf>
    <xf numFmtId="184" fontId="113" fillId="41" borderId="52" applyNumberFormat="0" applyProtection="0">
      <alignment horizontal="center" vertical="center"/>
    </xf>
    <xf numFmtId="184" fontId="113" fillId="39" borderId="52" applyNumberFormat="0" applyProtection="0">
      <alignment horizontal="center" vertical="center"/>
    </xf>
    <xf numFmtId="184" fontId="111" fillId="42" borderId="0" applyNumberFormat="0" applyBorder="0">
      <alignment horizontal="center" wrapText="1"/>
    </xf>
    <xf numFmtId="184" fontId="112" fillId="41" borderId="0" applyNumberFormat="0"/>
    <xf numFmtId="184" fontId="108" fillId="41" borderId="49" applyNumberFormat="0">
      <alignment horizontal="left" vertical="center"/>
    </xf>
    <xf numFmtId="184" fontId="108" fillId="41" borderId="50" applyNumberFormat="0">
      <alignment horizontal="center" vertical="center"/>
    </xf>
    <xf numFmtId="184" fontId="108" fillId="41" borderId="51" applyNumberFormat="0">
      <alignment horizontal="center" vertical="center"/>
    </xf>
    <xf numFmtId="184" fontId="108" fillId="41" borderId="52" applyNumberFormat="0">
      <alignment horizontal="center" vertical="center"/>
    </xf>
    <xf numFmtId="184" fontId="108" fillId="44" borderId="49" applyNumberFormat="0">
      <alignment horizontal="left" vertical="center"/>
    </xf>
    <xf numFmtId="184" fontId="108" fillId="44" borderId="50" applyNumberFormat="0">
      <alignment horizontal="center" vertical="center"/>
    </xf>
    <xf numFmtId="184" fontId="108" fillId="44" borderId="51" applyNumberFormat="0">
      <alignment horizontal="center" vertical="center"/>
    </xf>
    <xf numFmtId="184" fontId="108" fillId="44" borderId="52" applyNumberFormat="0">
      <alignment horizontal="center" vertical="center"/>
    </xf>
    <xf numFmtId="184" fontId="108" fillId="40" borderId="52" applyNumberFormat="0">
      <alignment horizontal="center" vertical="center"/>
    </xf>
    <xf numFmtId="184" fontId="108" fillId="41" borderId="49" applyNumberFormat="0">
      <alignment horizontal="left" vertical="center"/>
    </xf>
    <xf numFmtId="184" fontId="108" fillId="41" borderId="50" applyNumberFormat="0">
      <alignment horizontal="center" vertical="center"/>
    </xf>
    <xf numFmtId="184" fontId="108" fillId="41" borderId="51" applyNumberFormat="0">
      <alignment horizontal="center" vertical="center"/>
    </xf>
    <xf numFmtId="184" fontId="108" fillId="41" borderId="52" applyNumberFormat="0">
      <alignment horizontal="center" vertical="center"/>
    </xf>
    <xf numFmtId="184" fontId="108" fillId="44" borderId="49" applyNumberFormat="0">
      <alignment horizontal="left" vertical="center"/>
    </xf>
    <xf numFmtId="184" fontId="108" fillId="44" borderId="50" applyNumberFormat="0">
      <alignment horizontal="center" vertical="center"/>
    </xf>
    <xf numFmtId="184" fontId="108" fillId="44" borderId="51" applyNumberFormat="0">
      <alignment horizontal="center" vertical="center"/>
    </xf>
    <xf numFmtId="184" fontId="108" fillId="44" borderId="52" applyNumberFormat="0">
      <alignment horizontal="center" vertical="center"/>
    </xf>
    <xf numFmtId="184" fontId="108" fillId="40" borderId="52" applyNumberFormat="0">
      <alignment horizontal="center" vertical="center"/>
    </xf>
    <xf numFmtId="184" fontId="108" fillId="41" borderId="50" applyNumberFormat="0" applyFont="0"/>
    <xf numFmtId="184" fontId="108" fillId="39" borderId="50" applyNumberFormat="0" applyFont="0"/>
    <xf numFmtId="184" fontId="118" fillId="43" borderId="0" applyNumberFormat="0" applyBorder="0" applyAlignment="0" applyProtection="0"/>
    <xf numFmtId="184" fontId="118" fillId="43" borderId="0" applyNumberFormat="0" applyBorder="0" applyAlignment="0" applyProtection="0"/>
    <xf numFmtId="184" fontId="118" fillId="43" borderId="0" applyNumberFormat="0" applyBorder="0" applyAlignment="0" applyProtection="0"/>
    <xf numFmtId="184" fontId="111" fillId="42" borderId="0" applyNumberFormat="0" applyBorder="0">
      <alignment horizontal="center" wrapText="1"/>
    </xf>
    <xf numFmtId="184" fontId="111" fillId="42" borderId="0" applyNumberFormat="0" applyBorder="0">
      <alignment horizontal="center" wrapText="1"/>
    </xf>
    <xf numFmtId="184" fontId="108" fillId="41" borderId="49" applyNumberFormat="0"/>
    <xf numFmtId="184" fontId="108" fillId="41" borderId="50" applyNumberFormat="0"/>
    <xf numFmtId="184" fontId="108" fillId="41" borderId="51" applyNumberFormat="0"/>
    <xf numFmtId="184" fontId="108" fillId="41" borderId="52" applyNumberFormat="0"/>
    <xf numFmtId="184" fontId="108" fillId="39" borderId="49" applyNumberFormat="0"/>
    <xf numFmtId="184" fontId="108" fillId="39" borderId="50" applyNumberFormat="0"/>
    <xf numFmtId="184" fontId="108" fillId="39" borderId="51" applyNumberFormat="0"/>
    <xf numFmtId="184" fontId="108" fillId="39" borderId="52" applyNumberFormat="0"/>
    <xf numFmtId="184" fontId="108" fillId="41" borderId="49" applyNumberFormat="0"/>
    <xf numFmtId="184" fontId="108" fillId="41" borderId="50" applyNumberFormat="0"/>
    <xf numFmtId="184" fontId="108" fillId="41" borderId="51" applyNumberFormat="0"/>
    <xf numFmtId="184" fontId="108" fillId="41" borderId="52" applyNumberFormat="0"/>
    <xf numFmtId="184" fontId="108" fillId="44" borderId="49" applyNumberFormat="0"/>
    <xf numFmtId="184" fontId="108" fillId="44" borderId="50" applyNumberFormat="0"/>
    <xf numFmtId="184" fontId="108" fillId="44" borderId="51" applyNumberFormat="0"/>
    <xf numFmtId="184" fontId="108" fillId="44" borderId="52" applyNumberFormat="0"/>
    <xf numFmtId="184" fontId="111" fillId="42" borderId="0" applyNumberFormat="0" applyBorder="0">
      <alignment horizontal="center" wrapText="1"/>
    </xf>
    <xf numFmtId="184" fontId="108" fillId="41" borderId="49" applyNumberFormat="0">
      <alignment horizontal="left"/>
    </xf>
    <xf numFmtId="184" fontId="108" fillId="41" borderId="50" applyNumberFormat="0"/>
    <xf numFmtId="184" fontId="108" fillId="41" borderId="51" applyNumberFormat="0"/>
    <xf numFmtId="184" fontId="108" fillId="41" borderId="52" applyNumberFormat="0"/>
    <xf numFmtId="184" fontId="108" fillId="44" borderId="49" applyNumberFormat="0">
      <alignment horizontal="left"/>
    </xf>
    <xf numFmtId="184" fontId="108" fillId="44" borderId="50" applyNumberFormat="0"/>
    <xf numFmtId="184" fontId="108" fillId="44" borderId="51" applyNumberFormat="0"/>
    <xf numFmtId="184" fontId="108" fillId="44" borderId="52" applyNumberFormat="0"/>
    <xf numFmtId="184" fontId="111" fillId="42" borderId="0" applyNumberFormat="0" applyBorder="0" applyProtection="0">
      <alignment horizontal="center" wrapText="1"/>
    </xf>
    <xf numFmtId="184" fontId="111" fillId="42" borderId="0" applyNumberFormat="0" applyBorder="0">
      <alignment horizontal="center" wrapText="1"/>
    </xf>
    <xf numFmtId="184" fontId="108" fillId="41" borderId="49" applyNumberFormat="0" applyFont="0" applyProtection="0">
      <alignment horizontal="left"/>
    </xf>
    <xf numFmtId="184" fontId="108" fillId="41" borderId="50" applyNumberFormat="0" applyFont="0" applyAlignment="0" applyProtection="0"/>
    <xf numFmtId="184" fontId="108" fillId="41" borderId="51" applyNumberFormat="0" applyFont="0" applyAlignment="0" applyProtection="0"/>
    <xf numFmtId="184" fontId="108" fillId="41" borderId="52" applyNumberFormat="0" applyFont="0" applyAlignment="0" applyProtection="0"/>
    <xf numFmtId="184" fontId="108" fillId="39" borderId="49" applyNumberFormat="0" applyFont="0" applyProtection="0">
      <alignment horizontal="left"/>
    </xf>
    <xf numFmtId="184" fontId="108" fillId="39" borderId="50" applyNumberFormat="0" applyFont="0" applyAlignment="0" applyProtection="0"/>
    <xf numFmtId="184" fontId="108" fillId="39" borderId="51" applyNumberFormat="0" applyFont="0" applyAlignment="0" applyProtection="0"/>
    <xf numFmtId="184" fontId="108" fillId="39" borderId="52" applyNumberFormat="0" applyFont="0" applyAlignment="0" applyProtection="0"/>
    <xf numFmtId="184" fontId="108" fillId="40" borderId="52" applyNumberFormat="0" applyFont="0" applyProtection="0">
      <alignment horizontal="center" vertical="center"/>
    </xf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12" fillId="41" borderId="0" applyNumberFormat="0" applyAlignment="0" applyProtection="0"/>
    <xf numFmtId="184" fontId="111" fillId="42" borderId="0" applyNumberFormat="0" applyBorder="0" applyProtection="0">
      <alignment horizontal="center" wrapText="1"/>
    </xf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12" fillId="41" borderId="0" applyNumberFormat="0"/>
    <xf numFmtId="184" fontId="108" fillId="41" borderId="49" applyNumberFormat="0">
      <alignment horizontal="left" vertical="center"/>
    </xf>
    <xf numFmtId="184" fontId="108" fillId="41" borderId="50" applyNumberFormat="0">
      <alignment horizontal="center" vertical="center"/>
    </xf>
    <xf numFmtId="184" fontId="108" fillId="41" borderId="51" applyNumberFormat="0">
      <alignment horizontal="center" vertical="center"/>
    </xf>
    <xf numFmtId="184" fontId="108" fillId="41" borderId="52" applyNumberFormat="0">
      <alignment horizontal="center" vertical="center"/>
    </xf>
    <xf numFmtId="184" fontId="108" fillId="44" borderId="49" applyNumberFormat="0">
      <alignment horizontal="left" vertical="center"/>
    </xf>
    <xf numFmtId="184" fontId="108" fillId="44" borderId="50" applyNumberFormat="0">
      <alignment horizontal="center" vertical="center"/>
    </xf>
    <xf numFmtId="184" fontId="108" fillId="44" borderId="51" applyNumberFormat="0">
      <alignment horizontal="center" vertical="center"/>
    </xf>
    <xf numFmtId="184" fontId="108" fillId="44" borderId="52" applyNumberFormat="0">
      <alignment horizontal="center" vertical="center"/>
    </xf>
    <xf numFmtId="184" fontId="108" fillId="40" borderId="52" applyNumberFormat="0">
      <alignment horizontal="center" vertical="center"/>
    </xf>
    <xf numFmtId="184" fontId="111" fillId="42" borderId="0" applyNumberFormat="0" applyBorder="0">
      <alignment horizontal="center" wrapText="1"/>
    </xf>
    <xf numFmtId="184" fontId="108" fillId="41" borderId="49" applyNumberFormat="0" applyFont="0" applyProtection="0">
      <alignment horizontal="left"/>
    </xf>
    <xf numFmtId="184" fontId="108" fillId="41" borderId="50" applyNumberFormat="0" applyFont="0" applyAlignment="0" applyProtection="0"/>
    <xf numFmtId="184" fontId="108" fillId="41" borderId="51" applyNumberFormat="0" applyFont="0" applyAlignment="0" applyProtection="0"/>
    <xf numFmtId="184" fontId="108" fillId="41" borderId="52" applyNumberFormat="0" applyFont="0" applyAlignment="0" applyProtection="0"/>
    <xf numFmtId="184" fontId="119" fillId="0" borderId="0"/>
    <xf numFmtId="184" fontId="120" fillId="0" borderId="0"/>
    <xf numFmtId="184" fontId="120" fillId="0" borderId="0"/>
    <xf numFmtId="170" fontId="120" fillId="0" borderId="0" applyBorder="0"/>
    <xf numFmtId="168" fontId="120" fillId="0" borderId="0" applyBorder="0"/>
    <xf numFmtId="169" fontId="120" fillId="0" borderId="0" applyBorder="0"/>
    <xf numFmtId="167" fontId="120" fillId="0" borderId="0" applyBorder="0"/>
    <xf numFmtId="184" fontId="121" fillId="0" borderId="0" applyNumberFormat="0" applyBorder="0"/>
    <xf numFmtId="184" fontId="122" fillId="0" borderId="0" applyNumberFormat="0" applyBorder="0"/>
    <xf numFmtId="9" fontId="120" fillId="0" borderId="0" applyBorder="0"/>
    <xf numFmtId="184" fontId="121" fillId="0" borderId="0" applyNumberFormat="0" applyBorder="0"/>
    <xf numFmtId="184" fontId="122" fillId="0" borderId="0" applyNumberFormat="0" applyBorder="0"/>
    <xf numFmtId="9" fontId="120" fillId="0" borderId="0" applyBorder="0"/>
    <xf numFmtId="184" fontId="121" fillId="0" borderId="0" applyNumberFormat="0" applyBorder="0"/>
    <xf numFmtId="184" fontId="122" fillId="0" borderId="0" applyNumberFormat="0" applyBorder="0"/>
    <xf numFmtId="9" fontId="120" fillId="0" borderId="0" applyBorder="0"/>
    <xf numFmtId="184" fontId="121" fillId="0" borderId="0" applyNumberFormat="0" applyBorder="0"/>
    <xf numFmtId="184" fontId="122" fillId="0" borderId="0" applyNumberFormat="0" applyBorder="0"/>
    <xf numFmtId="9" fontId="120" fillId="0" borderId="0" applyBorder="0"/>
    <xf numFmtId="184" fontId="121" fillId="0" borderId="0" applyNumberFormat="0" applyBorder="0"/>
    <xf numFmtId="184" fontId="121" fillId="0" borderId="0" applyNumberFormat="0" applyBorder="0" applyAlignment="0" applyProtection="0"/>
    <xf numFmtId="184" fontId="122" fillId="0" borderId="0" applyNumberFormat="0" applyBorder="0" applyAlignment="0" applyProtection="0"/>
    <xf numFmtId="9" fontId="120" fillId="0" borderId="0" applyBorder="0"/>
    <xf numFmtId="184" fontId="122" fillId="0" borderId="0" applyNumberFormat="0" applyBorder="0"/>
    <xf numFmtId="9" fontId="120" fillId="0" borderId="0" applyBorder="0"/>
    <xf numFmtId="9" fontId="120" fillId="0" borderId="0" applyBorder="0"/>
    <xf numFmtId="184" fontId="126" fillId="0" borderId="0" applyNumberFormat="0" applyBorder="0" applyAlignment="0" applyProtection="0"/>
    <xf numFmtId="184" fontId="127" fillId="0" borderId="0" applyNumberFormat="0" applyBorder="0" applyAlignment="0" applyProtection="0"/>
    <xf numFmtId="9" fontId="120" fillId="0" borderId="0" applyFont="0" applyBorder="0"/>
    <xf numFmtId="9" fontId="120" fillId="0" borderId="0" applyFont="0" applyBorder="0"/>
    <xf numFmtId="184" fontId="120" fillId="39" borderId="49" applyNumberFormat="0" applyFont="0" applyProtection="0">
      <alignment horizontal="left"/>
    </xf>
    <xf numFmtId="184" fontId="120" fillId="39" borderId="50" applyNumberFormat="0" applyFont="0" applyAlignment="0" applyProtection="0"/>
    <xf numFmtId="184" fontId="120" fillId="39" borderId="51" applyNumberFormat="0" applyFont="0" applyAlignment="0" applyProtection="0"/>
    <xf numFmtId="184" fontId="120" fillId="39" borderId="52" applyNumberFormat="0" applyFont="0" applyAlignment="0" applyProtection="0"/>
    <xf numFmtId="184" fontId="120" fillId="40" borderId="52" applyNumberFormat="0" applyFont="0" applyProtection="0">
      <alignment horizontal="center" vertical="center"/>
    </xf>
    <xf numFmtId="184" fontId="124" fillId="41" borderId="0" applyNumberFormat="0" applyAlignment="0" applyProtection="0"/>
    <xf numFmtId="184" fontId="123" fillId="42" borderId="0" applyNumberFormat="0" applyBorder="0" applyProtection="0">
      <alignment horizontal="center" wrapText="1"/>
    </xf>
    <xf numFmtId="184" fontId="123" fillId="42" borderId="0" applyNumberFormat="0" applyBorder="0" applyProtection="0">
      <alignment horizontal="center" wrapText="1"/>
    </xf>
    <xf numFmtId="184" fontId="124" fillId="41" borderId="0" applyNumberFormat="0"/>
    <xf numFmtId="184" fontId="120" fillId="41" borderId="49" applyNumberFormat="0">
      <alignment horizontal="left" vertical="center"/>
    </xf>
    <xf numFmtId="184" fontId="120" fillId="41" borderId="50" applyNumberFormat="0">
      <alignment horizontal="center" vertical="center"/>
    </xf>
    <xf numFmtId="184" fontId="120" fillId="41" borderId="51" applyNumberFormat="0">
      <alignment horizontal="center" vertical="center"/>
    </xf>
    <xf numFmtId="184" fontId="120" fillId="41" borderId="49" applyNumberFormat="0" applyFont="0" applyProtection="0">
      <alignment horizontal="left"/>
    </xf>
    <xf numFmtId="184" fontId="120" fillId="41" borderId="50" applyNumberFormat="0" applyFont="0" applyAlignment="0" applyProtection="0"/>
    <xf numFmtId="184" fontId="120" fillId="41" borderId="51" applyNumberFormat="0" applyFont="0" applyAlignment="0" applyProtection="0"/>
    <xf numFmtId="184" fontId="120" fillId="41" borderId="52" applyNumberFormat="0" applyFont="0" applyAlignment="0" applyProtection="0"/>
    <xf numFmtId="184" fontId="120" fillId="39" borderId="49" applyNumberFormat="0" applyFont="0" applyProtection="0">
      <alignment horizontal="left"/>
    </xf>
    <xf numFmtId="184" fontId="120" fillId="39" borderId="50" applyNumberFormat="0" applyFont="0" applyAlignment="0" applyProtection="0"/>
    <xf numFmtId="184" fontId="120" fillId="39" borderId="51" applyNumberFormat="0" applyFont="0" applyAlignment="0" applyProtection="0"/>
    <xf numFmtId="184" fontId="120" fillId="39" borderId="52" applyNumberFormat="0" applyFont="0" applyAlignment="0" applyProtection="0"/>
    <xf numFmtId="184" fontId="120" fillId="40" borderId="52" applyNumberFormat="0" applyFont="0" applyProtection="0">
      <alignment horizontal="center" vertical="center"/>
    </xf>
    <xf numFmtId="184" fontId="125" fillId="39" borderId="52" applyNumberFormat="0" applyProtection="0">
      <alignment horizontal="center" vertical="center"/>
    </xf>
    <xf numFmtId="184" fontId="124" fillId="43" borderId="0" applyNumberFormat="0" applyBorder="0" applyAlignment="0" applyProtection="0"/>
    <xf numFmtId="184" fontId="128" fillId="43" borderId="0" applyNumberFormat="0" applyBorder="0" applyProtection="0">
      <alignment horizontal="center"/>
    </xf>
    <xf numFmtId="184" fontId="124" fillId="41" borderId="0" applyNumberFormat="0" applyAlignment="0" applyProtection="0"/>
    <xf numFmtId="184" fontId="120" fillId="41" borderId="49" applyNumberFormat="0">
      <alignment horizontal="left" vertical="center"/>
    </xf>
    <xf numFmtId="184" fontId="120" fillId="41" borderId="50" applyNumberFormat="0">
      <alignment horizontal="center" vertical="center"/>
    </xf>
    <xf numFmtId="184" fontId="120" fillId="41" borderId="51" applyNumberFormat="0">
      <alignment horizontal="center" vertical="center"/>
    </xf>
    <xf numFmtId="184" fontId="120" fillId="41" borderId="52" applyNumberFormat="0">
      <alignment horizontal="center" vertical="center"/>
    </xf>
    <xf numFmtId="184" fontId="120" fillId="44" borderId="49" applyNumberFormat="0">
      <alignment horizontal="left" vertical="center"/>
    </xf>
    <xf numFmtId="184" fontId="120" fillId="44" borderId="50" applyNumberFormat="0">
      <alignment horizontal="center" vertical="center"/>
    </xf>
    <xf numFmtId="184" fontId="120" fillId="44" borderId="51" applyNumberFormat="0">
      <alignment horizontal="center" vertical="center"/>
    </xf>
    <xf numFmtId="184" fontId="120" fillId="44" borderId="52" applyNumberFormat="0">
      <alignment horizontal="center" vertical="center"/>
    </xf>
    <xf numFmtId="184" fontId="120" fillId="40" borderId="52" applyNumberFormat="0">
      <alignment horizontal="center" vertical="center"/>
    </xf>
    <xf numFmtId="184" fontId="124" fillId="41" borderId="0" applyNumberFormat="0" applyAlignment="0" applyProtection="0"/>
    <xf numFmtId="184" fontId="129" fillId="45" borderId="0" applyNumberFormat="0" applyBorder="0" applyAlignment="0" applyProtection="0"/>
    <xf numFmtId="184" fontId="120" fillId="41" borderId="53" applyNumberFormat="0" applyFont="0" applyProtection="0">
      <alignment horizontal="left" vertical="center"/>
    </xf>
    <xf numFmtId="184" fontId="120" fillId="41" borderId="53" applyNumberFormat="0" applyFont="0" applyProtection="0">
      <alignment horizontal="left" vertical="center"/>
    </xf>
    <xf numFmtId="184" fontId="120" fillId="41" borderId="54" applyNumberFormat="0" applyProtection="0">
      <alignment horizontal="center" vertical="center"/>
    </xf>
    <xf numFmtId="184" fontId="120" fillId="41" borderId="54" applyNumberFormat="0" applyProtection="0">
      <alignment horizontal="center" vertical="center"/>
    </xf>
    <xf numFmtId="184" fontId="120" fillId="41" borderId="55" applyNumberFormat="0" applyProtection="0">
      <alignment horizontal="center" vertical="center"/>
    </xf>
    <xf numFmtId="184" fontId="120" fillId="41" borderId="55" applyNumberFormat="0" applyProtection="0">
      <alignment horizontal="center" vertical="center"/>
    </xf>
    <xf numFmtId="184" fontId="120" fillId="41" borderId="56" applyNumberFormat="0" applyProtection="0">
      <alignment horizontal="center" vertical="center"/>
    </xf>
    <xf numFmtId="184" fontId="120" fillId="41" borderId="56" applyNumberFormat="0" applyProtection="0">
      <alignment horizontal="center" vertical="center"/>
    </xf>
    <xf numFmtId="184" fontId="120" fillId="46" borderId="53" applyNumberFormat="0" applyFont="0" applyProtection="0">
      <alignment horizontal="left" vertical="center"/>
    </xf>
    <xf numFmtId="184" fontId="120" fillId="46" borderId="53" applyNumberFormat="0" applyFont="0" applyProtection="0">
      <alignment horizontal="left" vertical="center"/>
    </xf>
    <xf numFmtId="184" fontId="120" fillId="46" borderId="54" applyNumberFormat="0" applyFont="0" applyProtection="0">
      <alignment horizontal="center" vertical="center"/>
    </xf>
    <xf numFmtId="184" fontId="120" fillId="46" borderId="54" applyNumberFormat="0" applyFont="0" applyProtection="0">
      <alignment horizontal="center" vertical="center"/>
    </xf>
    <xf numFmtId="184" fontId="120" fillId="46" borderId="55" applyNumberFormat="0" applyFont="0" applyProtection="0">
      <alignment horizontal="center" vertical="center"/>
    </xf>
    <xf numFmtId="184" fontId="120" fillId="46" borderId="55" applyNumberFormat="0" applyFont="0" applyProtection="0">
      <alignment horizontal="center" vertical="center"/>
    </xf>
    <xf numFmtId="184" fontId="120" fillId="46" borderId="56" applyNumberFormat="0" applyFont="0" applyProtection="0">
      <alignment horizontal="center" vertical="center"/>
    </xf>
    <xf numFmtId="184" fontId="120" fillId="46" borderId="56" applyNumberFormat="0" applyFont="0" applyProtection="0">
      <alignment horizontal="center" vertical="center"/>
    </xf>
    <xf numFmtId="184" fontId="120" fillId="45" borderId="56" applyNumberFormat="0" applyFont="0" applyProtection="0">
      <alignment horizontal="center" vertical="center"/>
    </xf>
    <xf numFmtId="184" fontId="120" fillId="45" borderId="56" applyNumberFormat="0" applyFont="0" applyProtection="0">
      <alignment horizontal="center" vertical="center"/>
    </xf>
    <xf numFmtId="184" fontId="125" fillId="41" borderId="56" applyNumberFormat="0" applyProtection="0">
      <alignment horizontal="center" vertical="center"/>
    </xf>
    <xf numFmtId="184" fontId="125" fillId="46" borderId="56" applyNumberFormat="0" applyProtection="0">
      <alignment horizontal="center" vertical="center"/>
    </xf>
    <xf numFmtId="184" fontId="123" fillId="42" borderId="0" applyNumberFormat="0" applyBorder="0" applyProtection="0">
      <alignment horizontal="center" wrapText="1"/>
    </xf>
    <xf numFmtId="184" fontId="120" fillId="41" borderId="49" applyNumberFormat="0">
      <alignment horizontal="left" vertical="center"/>
    </xf>
    <xf numFmtId="184" fontId="120" fillId="41" borderId="50" applyNumberFormat="0">
      <alignment horizontal="center" vertical="center"/>
    </xf>
    <xf numFmtId="184" fontId="120" fillId="41" borderId="51" applyNumberFormat="0">
      <alignment horizontal="center" vertical="center"/>
    </xf>
    <xf numFmtId="184" fontId="120" fillId="41" borderId="52" applyNumberFormat="0">
      <alignment horizontal="center" vertical="center"/>
    </xf>
    <xf numFmtId="184" fontId="120" fillId="44" borderId="49" applyNumberFormat="0">
      <alignment horizontal="left" vertical="center"/>
    </xf>
    <xf numFmtId="184" fontId="120" fillId="44" borderId="50" applyNumberFormat="0">
      <alignment horizontal="center" vertical="center"/>
    </xf>
    <xf numFmtId="184" fontId="120" fillId="44" borderId="51" applyNumberFormat="0">
      <alignment horizontal="center" vertical="center"/>
    </xf>
    <xf numFmtId="184" fontId="120" fillId="44" borderId="52" applyNumberFormat="0">
      <alignment horizontal="center" vertical="center"/>
    </xf>
    <xf numFmtId="184" fontId="120" fillId="40" borderId="52" applyNumberFormat="0">
      <alignment horizontal="center" vertical="center"/>
    </xf>
    <xf numFmtId="184" fontId="120" fillId="41" borderId="49" applyNumberFormat="0" applyFont="0" applyProtection="0">
      <alignment horizontal="left" vertical="center"/>
    </xf>
    <xf numFmtId="184" fontId="120" fillId="41" borderId="49" applyNumberFormat="0" applyFont="0" applyProtection="0">
      <alignment horizontal="left" vertical="center"/>
    </xf>
    <xf numFmtId="184" fontId="120" fillId="41" borderId="50" applyNumberFormat="0" applyProtection="0">
      <alignment horizontal="center" vertical="center"/>
    </xf>
    <xf numFmtId="184" fontId="120" fillId="41" borderId="50" applyNumberFormat="0" applyProtection="0">
      <alignment horizontal="center" vertical="center"/>
    </xf>
    <xf numFmtId="184" fontId="120" fillId="41" borderId="51" applyNumberFormat="0" applyProtection="0">
      <alignment horizontal="center" vertical="center"/>
    </xf>
    <xf numFmtId="184" fontId="120" fillId="41" borderId="51" applyNumberFormat="0" applyProtection="0">
      <alignment horizontal="center" vertical="center"/>
    </xf>
    <xf numFmtId="184" fontId="120" fillId="41" borderId="52" applyNumberFormat="0" applyProtection="0">
      <alignment horizontal="center" vertical="center"/>
    </xf>
    <xf numFmtId="184" fontId="120" fillId="41" borderId="52" applyNumberFormat="0" applyProtection="0">
      <alignment horizontal="center" vertical="center"/>
    </xf>
    <xf numFmtId="184" fontId="120" fillId="39" borderId="49" applyNumberFormat="0" applyFont="0" applyProtection="0">
      <alignment horizontal="left" vertical="center"/>
    </xf>
    <xf numFmtId="184" fontId="120" fillId="39" borderId="49" applyNumberFormat="0" applyFont="0" applyProtection="0">
      <alignment horizontal="left" vertical="center"/>
    </xf>
    <xf numFmtId="184" fontId="120" fillId="39" borderId="50" applyNumberFormat="0" applyProtection="0">
      <alignment horizontal="center" vertical="center"/>
    </xf>
    <xf numFmtId="184" fontId="120" fillId="39" borderId="50" applyNumberFormat="0" applyProtection="0">
      <alignment horizontal="center" vertical="center"/>
    </xf>
    <xf numFmtId="184" fontId="120" fillId="39" borderId="51" applyNumberFormat="0" applyProtection="0">
      <alignment horizontal="center" vertical="center"/>
    </xf>
    <xf numFmtId="184" fontId="120" fillId="39" borderId="51" applyNumberFormat="0" applyProtection="0">
      <alignment horizontal="center" vertical="center"/>
    </xf>
    <xf numFmtId="184" fontId="120" fillId="39" borderId="52" applyNumberFormat="0" applyProtection="0">
      <alignment horizontal="center" vertical="center"/>
    </xf>
    <xf numFmtId="184" fontId="120" fillId="39" borderId="52" applyNumberFormat="0" applyProtection="0">
      <alignment horizontal="center" vertical="center"/>
    </xf>
    <xf numFmtId="184" fontId="120" fillId="40" borderId="52" applyNumberFormat="0" applyFont="0" applyProtection="0">
      <alignment horizontal="center" vertical="center"/>
    </xf>
    <xf numFmtId="184" fontId="120" fillId="40" borderId="52" applyNumberFormat="0" applyFont="0" applyProtection="0">
      <alignment horizontal="center" vertical="center"/>
    </xf>
    <xf numFmtId="184" fontId="125" fillId="41" borderId="52" applyNumberFormat="0" applyProtection="0">
      <alignment horizontal="center" vertical="center"/>
    </xf>
    <xf numFmtId="184" fontId="125" fillId="39" borderId="52" applyNumberFormat="0" applyProtection="0">
      <alignment horizontal="center" vertical="center"/>
    </xf>
    <xf numFmtId="184" fontId="123" fillId="42" borderId="0" applyNumberFormat="0" applyBorder="0">
      <alignment horizontal="center" wrapText="1"/>
    </xf>
    <xf numFmtId="184" fontId="124" fillId="41" borderId="0" applyNumberFormat="0"/>
    <xf numFmtId="184" fontId="120" fillId="41" borderId="49" applyNumberFormat="0">
      <alignment horizontal="left" vertical="center"/>
    </xf>
    <xf numFmtId="184" fontId="120" fillId="41" borderId="50" applyNumberFormat="0">
      <alignment horizontal="center" vertical="center"/>
    </xf>
    <xf numFmtId="184" fontId="120" fillId="41" borderId="51" applyNumberFormat="0">
      <alignment horizontal="center" vertical="center"/>
    </xf>
    <xf numFmtId="184" fontId="120" fillId="41" borderId="52" applyNumberFormat="0">
      <alignment horizontal="center" vertical="center"/>
    </xf>
    <xf numFmtId="184" fontId="120" fillId="44" borderId="49" applyNumberFormat="0">
      <alignment horizontal="left" vertical="center"/>
    </xf>
    <xf numFmtId="184" fontId="120" fillId="44" borderId="50" applyNumberFormat="0">
      <alignment horizontal="center" vertical="center"/>
    </xf>
    <xf numFmtId="184" fontId="120" fillId="44" borderId="51" applyNumberFormat="0">
      <alignment horizontal="center" vertical="center"/>
    </xf>
    <xf numFmtId="184" fontId="120" fillId="44" borderId="52" applyNumberFormat="0">
      <alignment horizontal="center" vertical="center"/>
    </xf>
    <xf numFmtId="184" fontId="120" fillId="40" borderId="52" applyNumberFormat="0">
      <alignment horizontal="center" vertical="center"/>
    </xf>
    <xf numFmtId="184" fontId="120" fillId="41" borderId="49" applyNumberFormat="0">
      <alignment horizontal="left" vertical="center"/>
    </xf>
    <xf numFmtId="184" fontId="120" fillId="41" borderId="50" applyNumberFormat="0">
      <alignment horizontal="center" vertical="center"/>
    </xf>
    <xf numFmtId="184" fontId="120" fillId="41" borderId="51" applyNumberFormat="0">
      <alignment horizontal="center" vertical="center"/>
    </xf>
    <xf numFmtId="184" fontId="120" fillId="41" borderId="52" applyNumberFormat="0">
      <alignment horizontal="center" vertical="center"/>
    </xf>
    <xf numFmtId="184" fontId="120" fillId="44" borderId="49" applyNumberFormat="0">
      <alignment horizontal="left" vertical="center"/>
    </xf>
    <xf numFmtId="184" fontId="120" fillId="44" borderId="50" applyNumberFormat="0">
      <alignment horizontal="center" vertical="center"/>
    </xf>
    <xf numFmtId="184" fontId="120" fillId="44" borderId="51" applyNumberFormat="0">
      <alignment horizontal="center" vertical="center"/>
    </xf>
    <xf numFmtId="184" fontId="120" fillId="44" borderId="52" applyNumberFormat="0">
      <alignment horizontal="center" vertical="center"/>
    </xf>
    <xf numFmtId="184" fontId="120" fillId="40" borderId="52" applyNumberFormat="0">
      <alignment horizontal="center" vertical="center"/>
    </xf>
    <xf numFmtId="184" fontId="120" fillId="41" borderId="50" applyNumberFormat="0" applyFont="0"/>
    <xf numFmtId="184" fontId="120" fillId="39" borderId="50" applyNumberFormat="0" applyFont="0"/>
    <xf numFmtId="184" fontId="130" fillId="43" borderId="0" applyNumberFormat="0" applyBorder="0" applyAlignment="0" applyProtection="0"/>
    <xf numFmtId="184" fontId="130" fillId="43" borderId="0" applyNumberFormat="0" applyBorder="0" applyAlignment="0" applyProtection="0"/>
    <xf numFmtId="184" fontId="130" fillId="43" borderId="0" applyNumberFormat="0" applyBorder="0" applyAlignment="0" applyProtection="0"/>
    <xf numFmtId="184" fontId="123" fillId="42" borderId="0" applyNumberFormat="0" applyBorder="0">
      <alignment horizontal="center" wrapText="1"/>
    </xf>
    <xf numFmtId="184" fontId="123" fillId="42" borderId="0" applyNumberFormat="0" applyBorder="0">
      <alignment horizontal="center" wrapText="1"/>
    </xf>
    <xf numFmtId="184" fontId="120" fillId="41" borderId="49" applyNumberFormat="0"/>
    <xf numFmtId="184" fontId="120" fillId="41" borderId="50" applyNumberFormat="0"/>
    <xf numFmtId="184" fontId="120" fillId="41" borderId="51" applyNumberFormat="0"/>
    <xf numFmtId="184" fontId="120" fillId="41" borderId="52" applyNumberFormat="0"/>
    <xf numFmtId="184" fontId="120" fillId="39" borderId="49" applyNumberFormat="0"/>
    <xf numFmtId="184" fontId="120" fillId="39" borderId="50" applyNumberFormat="0"/>
    <xf numFmtId="184" fontId="120" fillId="39" borderId="51" applyNumberFormat="0"/>
    <xf numFmtId="184" fontId="120" fillId="39" borderId="52" applyNumberFormat="0"/>
    <xf numFmtId="184" fontId="120" fillId="41" borderId="49" applyNumberFormat="0"/>
    <xf numFmtId="184" fontId="120" fillId="41" borderId="50" applyNumberFormat="0"/>
    <xf numFmtId="184" fontId="120" fillId="41" borderId="51" applyNumberFormat="0"/>
    <xf numFmtId="184" fontId="120" fillId="41" borderId="52" applyNumberFormat="0"/>
    <xf numFmtId="184" fontId="120" fillId="44" borderId="49" applyNumberFormat="0"/>
    <xf numFmtId="184" fontId="120" fillId="44" borderId="50" applyNumberFormat="0"/>
    <xf numFmtId="184" fontId="120" fillId="44" borderId="51" applyNumberFormat="0"/>
    <xf numFmtId="184" fontId="120" fillId="44" borderId="52" applyNumberFormat="0"/>
    <xf numFmtId="184" fontId="123" fillId="42" borderId="0" applyNumberFormat="0" applyBorder="0">
      <alignment horizontal="center" wrapText="1"/>
    </xf>
    <xf numFmtId="184" fontId="120" fillId="41" borderId="49" applyNumberFormat="0">
      <alignment horizontal="left"/>
    </xf>
    <xf numFmtId="184" fontId="120" fillId="41" borderId="50" applyNumberFormat="0"/>
    <xf numFmtId="184" fontId="120" fillId="41" borderId="51" applyNumberFormat="0"/>
    <xf numFmtId="184" fontId="120" fillId="41" borderId="52" applyNumberFormat="0"/>
    <xf numFmtId="184" fontId="120" fillId="44" borderId="49" applyNumberFormat="0">
      <alignment horizontal="left"/>
    </xf>
    <xf numFmtId="184" fontId="120" fillId="44" borderId="50" applyNumberFormat="0"/>
    <xf numFmtId="184" fontId="120" fillId="44" borderId="51" applyNumberFormat="0"/>
    <xf numFmtId="184" fontId="120" fillId="44" borderId="52" applyNumberFormat="0"/>
    <xf numFmtId="184" fontId="123" fillId="42" borderId="0" applyNumberFormat="0" applyBorder="0" applyProtection="0">
      <alignment horizontal="center" wrapText="1"/>
    </xf>
    <xf numFmtId="184" fontId="123" fillId="42" borderId="0" applyNumberFormat="0" applyBorder="0">
      <alignment horizontal="center" wrapText="1"/>
    </xf>
    <xf numFmtId="184" fontId="120" fillId="41" borderId="49" applyNumberFormat="0" applyFont="0" applyProtection="0">
      <alignment horizontal="left"/>
    </xf>
    <xf numFmtId="184" fontId="120" fillId="41" borderId="50" applyNumberFormat="0" applyFont="0" applyAlignment="0" applyProtection="0"/>
    <xf numFmtId="184" fontId="120" fillId="41" borderId="51" applyNumberFormat="0" applyFont="0" applyAlignment="0" applyProtection="0"/>
    <xf numFmtId="184" fontId="120" fillId="41" borderId="52" applyNumberFormat="0" applyFont="0" applyAlignment="0" applyProtection="0"/>
    <xf numFmtId="184" fontId="120" fillId="39" borderId="49" applyNumberFormat="0" applyFont="0" applyProtection="0">
      <alignment horizontal="left"/>
    </xf>
    <xf numFmtId="184" fontId="120" fillId="39" borderId="50" applyNumberFormat="0" applyFont="0" applyAlignment="0" applyProtection="0"/>
    <xf numFmtId="184" fontId="120" fillId="39" borderId="51" applyNumberFormat="0" applyFont="0" applyAlignment="0" applyProtection="0"/>
    <xf numFmtId="184" fontId="120" fillId="39" borderId="52" applyNumberFormat="0" applyFont="0" applyAlignment="0" applyProtection="0"/>
    <xf numFmtId="184" fontId="120" fillId="40" borderId="52" applyNumberFormat="0" applyFont="0" applyProtection="0">
      <alignment horizontal="center" vertical="center"/>
    </xf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4" fillId="41" borderId="0" applyNumberFormat="0" applyAlignment="0" applyProtection="0"/>
    <xf numFmtId="184" fontId="123" fillId="42" borderId="0" applyNumberFormat="0" applyBorder="0" applyProtection="0">
      <alignment horizontal="center" wrapText="1"/>
    </xf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4" fillId="41" borderId="0" applyNumberFormat="0"/>
    <xf numFmtId="184" fontId="120" fillId="41" borderId="49" applyNumberFormat="0">
      <alignment horizontal="left" vertical="center"/>
    </xf>
    <xf numFmtId="184" fontId="120" fillId="41" borderId="50" applyNumberFormat="0">
      <alignment horizontal="center" vertical="center"/>
    </xf>
    <xf numFmtId="184" fontId="120" fillId="41" borderId="51" applyNumberFormat="0">
      <alignment horizontal="center" vertical="center"/>
    </xf>
    <xf numFmtId="184" fontId="120" fillId="41" borderId="52" applyNumberFormat="0">
      <alignment horizontal="center" vertical="center"/>
    </xf>
    <xf numFmtId="184" fontId="120" fillId="44" borderId="49" applyNumberFormat="0">
      <alignment horizontal="left" vertical="center"/>
    </xf>
    <xf numFmtId="184" fontId="120" fillId="44" borderId="50" applyNumberFormat="0">
      <alignment horizontal="center" vertical="center"/>
    </xf>
    <xf numFmtId="184" fontId="120" fillId="44" borderId="51" applyNumberFormat="0">
      <alignment horizontal="center" vertical="center"/>
    </xf>
    <xf numFmtId="184" fontId="120" fillId="44" borderId="52" applyNumberFormat="0">
      <alignment horizontal="center" vertical="center"/>
    </xf>
    <xf numFmtId="184" fontId="120" fillId="40" borderId="52" applyNumberFormat="0">
      <alignment horizontal="center" vertical="center"/>
    </xf>
    <xf numFmtId="184" fontId="123" fillId="42" borderId="0" applyNumberFormat="0" applyBorder="0">
      <alignment horizontal="center" wrapText="1"/>
    </xf>
    <xf numFmtId="184" fontId="120" fillId="41" borderId="49" applyNumberFormat="0" applyFont="0" applyProtection="0">
      <alignment horizontal="left"/>
    </xf>
    <xf numFmtId="184" fontId="120" fillId="41" borderId="50" applyNumberFormat="0" applyFont="0" applyAlignment="0" applyProtection="0"/>
    <xf numFmtId="184" fontId="120" fillId="41" borderId="51" applyNumberFormat="0" applyFont="0" applyAlignment="0" applyProtection="0"/>
    <xf numFmtId="184" fontId="120" fillId="41" borderId="52" applyNumberFormat="0" applyFont="0" applyAlignment="0" applyProtection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31" fillId="0" borderId="0"/>
    <xf numFmtId="184" fontId="132" fillId="0" borderId="0"/>
    <xf numFmtId="184" fontId="132" fillId="0" borderId="0"/>
    <xf numFmtId="170" fontId="132" fillId="0" borderId="0" applyBorder="0"/>
    <xf numFmtId="168" fontId="132" fillId="0" borderId="0" applyBorder="0"/>
    <xf numFmtId="169" fontId="132" fillId="0" borderId="0" applyBorder="0"/>
    <xf numFmtId="167" fontId="132" fillId="0" borderId="0" applyBorder="0"/>
    <xf numFmtId="184" fontId="133" fillId="0" borderId="0" applyNumberFormat="0" applyBorder="0"/>
    <xf numFmtId="184" fontId="134" fillId="0" borderId="0" applyNumberFormat="0" applyBorder="0"/>
    <xf numFmtId="9" fontId="132" fillId="0" borderId="0" applyBorder="0"/>
    <xf numFmtId="184" fontId="133" fillId="0" borderId="0" applyNumberFormat="0" applyBorder="0"/>
    <xf numFmtId="184" fontId="134" fillId="0" borderId="0" applyNumberFormat="0" applyBorder="0"/>
    <xf numFmtId="9" fontId="132" fillId="0" borderId="0" applyBorder="0"/>
    <xf numFmtId="184" fontId="133" fillId="0" borderId="0" applyNumberFormat="0" applyBorder="0"/>
    <xf numFmtId="184" fontId="134" fillId="0" borderId="0" applyNumberFormat="0" applyBorder="0"/>
    <xf numFmtId="9" fontId="132" fillId="0" borderId="0" applyBorder="0"/>
    <xf numFmtId="184" fontId="133" fillId="0" borderId="0" applyNumberFormat="0" applyBorder="0"/>
    <xf numFmtId="184" fontId="134" fillId="0" borderId="0" applyNumberFormat="0" applyBorder="0"/>
    <xf numFmtId="9" fontId="132" fillId="0" borderId="0" applyBorder="0"/>
    <xf numFmtId="184" fontId="133" fillId="0" borderId="0" applyNumberFormat="0" applyBorder="0"/>
    <xf numFmtId="184" fontId="133" fillId="0" borderId="0" applyNumberFormat="0" applyBorder="0" applyAlignment="0" applyProtection="0"/>
    <xf numFmtId="184" fontId="134" fillId="0" borderId="0" applyNumberFormat="0" applyBorder="0" applyAlignment="0" applyProtection="0"/>
    <xf numFmtId="9" fontId="132" fillId="0" borderId="0" applyBorder="0"/>
    <xf numFmtId="184" fontId="134" fillId="0" borderId="0" applyNumberFormat="0" applyBorder="0"/>
    <xf numFmtId="9" fontId="132" fillId="0" borderId="0" applyBorder="0"/>
    <xf numFmtId="9" fontId="132" fillId="0" borderId="0" applyBorder="0"/>
    <xf numFmtId="184" fontId="138" fillId="0" borderId="0" applyNumberFormat="0" applyBorder="0" applyAlignment="0" applyProtection="0"/>
    <xf numFmtId="184" fontId="139" fillId="0" borderId="0" applyNumberFormat="0" applyBorder="0" applyAlignment="0" applyProtection="0"/>
    <xf numFmtId="9" fontId="132" fillId="0" borderId="0" applyFont="0" applyBorder="0"/>
    <xf numFmtId="9" fontId="132" fillId="0" borderId="0" applyFont="0" applyBorder="0"/>
    <xf numFmtId="184" fontId="132" fillId="39" borderId="49" applyNumberFormat="0" applyFont="0" applyProtection="0">
      <alignment horizontal="left"/>
    </xf>
    <xf numFmtId="184" fontId="132" fillId="39" borderId="50" applyNumberFormat="0" applyFont="0" applyAlignment="0" applyProtection="0"/>
    <xf numFmtId="184" fontId="132" fillId="39" borderId="51" applyNumberFormat="0" applyFont="0" applyAlignment="0" applyProtection="0"/>
    <xf numFmtId="184" fontId="132" fillId="39" borderId="52" applyNumberFormat="0" applyFont="0" applyAlignment="0" applyProtection="0"/>
    <xf numFmtId="184" fontId="132" fillId="40" borderId="52" applyNumberFormat="0" applyFont="0" applyProtection="0">
      <alignment horizontal="center" vertical="center"/>
    </xf>
    <xf numFmtId="184" fontId="136" fillId="41" borderId="0" applyNumberFormat="0" applyAlignment="0" applyProtection="0"/>
    <xf numFmtId="184" fontId="135" fillId="42" borderId="0" applyNumberFormat="0" applyBorder="0" applyProtection="0">
      <alignment horizontal="center" wrapText="1"/>
    </xf>
    <xf numFmtId="184" fontId="135" fillId="42" borderId="0" applyNumberFormat="0" applyBorder="0" applyProtection="0">
      <alignment horizontal="center" wrapText="1"/>
    </xf>
    <xf numFmtId="184" fontId="136" fillId="41" borderId="0" applyNumberFormat="0"/>
    <xf numFmtId="184" fontId="132" fillId="41" borderId="49" applyNumberFormat="0">
      <alignment horizontal="left" vertical="center"/>
    </xf>
    <xf numFmtId="184" fontId="132" fillId="41" borderId="50" applyNumberFormat="0">
      <alignment horizontal="center" vertical="center"/>
    </xf>
    <xf numFmtId="184" fontId="132" fillId="41" borderId="51" applyNumberFormat="0">
      <alignment horizontal="center" vertical="center"/>
    </xf>
    <xf numFmtId="184" fontId="132" fillId="41" borderId="49" applyNumberFormat="0" applyFont="0" applyProtection="0">
      <alignment horizontal="left"/>
    </xf>
    <xf numFmtId="184" fontId="132" fillId="41" borderId="50" applyNumberFormat="0" applyFont="0" applyAlignment="0" applyProtection="0"/>
    <xf numFmtId="184" fontId="132" fillId="41" borderId="51" applyNumberFormat="0" applyFont="0" applyAlignment="0" applyProtection="0"/>
    <xf numFmtId="184" fontId="132" fillId="41" borderId="52" applyNumberFormat="0" applyFont="0" applyAlignment="0" applyProtection="0"/>
    <xf numFmtId="184" fontId="132" fillId="39" borderId="49" applyNumberFormat="0" applyFont="0" applyProtection="0">
      <alignment horizontal="left"/>
    </xf>
    <xf numFmtId="184" fontId="132" fillId="39" borderId="50" applyNumberFormat="0" applyFont="0" applyAlignment="0" applyProtection="0"/>
    <xf numFmtId="184" fontId="132" fillId="39" borderId="51" applyNumberFormat="0" applyFont="0" applyAlignment="0" applyProtection="0"/>
    <xf numFmtId="184" fontId="132" fillId="39" borderId="52" applyNumberFormat="0" applyFont="0" applyAlignment="0" applyProtection="0"/>
    <xf numFmtId="184" fontId="132" fillId="40" borderId="52" applyNumberFormat="0" applyFont="0" applyProtection="0">
      <alignment horizontal="center" vertical="center"/>
    </xf>
    <xf numFmtId="184" fontId="137" fillId="39" borderId="52" applyNumberFormat="0" applyProtection="0">
      <alignment horizontal="center" vertical="center"/>
    </xf>
    <xf numFmtId="184" fontId="136" fillId="43" borderId="0" applyNumberFormat="0" applyBorder="0" applyAlignment="0" applyProtection="0"/>
    <xf numFmtId="184" fontId="140" fillId="43" borderId="0" applyNumberFormat="0" applyBorder="0" applyProtection="0">
      <alignment horizontal="center"/>
    </xf>
    <xf numFmtId="184" fontId="136" fillId="41" borderId="0" applyNumberFormat="0" applyAlignment="0" applyProtection="0"/>
    <xf numFmtId="184" fontId="132" fillId="41" borderId="49" applyNumberFormat="0">
      <alignment horizontal="left" vertical="center"/>
    </xf>
    <xf numFmtId="184" fontId="132" fillId="41" borderId="50" applyNumberFormat="0">
      <alignment horizontal="center" vertical="center"/>
    </xf>
    <xf numFmtId="184" fontId="132" fillId="41" borderId="51" applyNumberFormat="0">
      <alignment horizontal="center" vertical="center"/>
    </xf>
    <xf numFmtId="184" fontId="132" fillId="41" borderId="52" applyNumberFormat="0">
      <alignment horizontal="center" vertical="center"/>
    </xf>
    <xf numFmtId="184" fontId="132" fillId="44" borderId="49" applyNumberFormat="0">
      <alignment horizontal="left" vertical="center"/>
    </xf>
    <xf numFmtId="184" fontId="132" fillId="44" borderId="50" applyNumberFormat="0">
      <alignment horizontal="center" vertical="center"/>
    </xf>
    <xf numFmtId="184" fontId="132" fillId="44" borderId="51" applyNumberFormat="0">
      <alignment horizontal="center" vertical="center"/>
    </xf>
    <xf numFmtId="184" fontId="132" fillId="44" borderId="52" applyNumberFormat="0">
      <alignment horizontal="center" vertical="center"/>
    </xf>
    <xf numFmtId="184" fontId="132" fillId="40" borderId="52" applyNumberFormat="0">
      <alignment horizontal="center" vertical="center"/>
    </xf>
    <xf numFmtId="184" fontId="136" fillId="41" borderId="0" applyNumberFormat="0" applyAlignment="0" applyProtection="0"/>
    <xf numFmtId="184" fontId="141" fillId="45" borderId="0" applyNumberFormat="0" applyBorder="0" applyAlignment="0" applyProtection="0"/>
    <xf numFmtId="184" fontId="132" fillId="41" borderId="53" applyNumberFormat="0" applyFont="0" applyProtection="0">
      <alignment horizontal="left" vertical="center"/>
    </xf>
    <xf numFmtId="184" fontId="132" fillId="41" borderId="53" applyNumberFormat="0" applyFont="0" applyProtection="0">
      <alignment horizontal="left" vertical="center"/>
    </xf>
    <xf numFmtId="184" fontId="132" fillId="41" borderId="54" applyNumberFormat="0" applyProtection="0">
      <alignment horizontal="center" vertical="center"/>
    </xf>
    <xf numFmtId="184" fontId="132" fillId="41" borderId="54" applyNumberFormat="0" applyProtection="0">
      <alignment horizontal="center" vertical="center"/>
    </xf>
    <xf numFmtId="184" fontId="132" fillId="41" borderId="55" applyNumberFormat="0" applyProtection="0">
      <alignment horizontal="center" vertical="center"/>
    </xf>
    <xf numFmtId="184" fontId="132" fillId="41" borderId="55" applyNumberFormat="0" applyProtection="0">
      <alignment horizontal="center" vertical="center"/>
    </xf>
    <xf numFmtId="184" fontId="132" fillId="41" borderId="56" applyNumberFormat="0" applyProtection="0">
      <alignment horizontal="center" vertical="center"/>
    </xf>
    <xf numFmtId="184" fontId="132" fillId="41" borderId="56" applyNumberFormat="0" applyProtection="0">
      <alignment horizontal="center" vertical="center"/>
    </xf>
    <xf numFmtId="184" fontId="132" fillId="46" borderId="53" applyNumberFormat="0" applyFont="0" applyProtection="0">
      <alignment horizontal="left" vertical="center"/>
    </xf>
    <xf numFmtId="184" fontId="132" fillId="46" borderId="53" applyNumberFormat="0" applyFont="0" applyProtection="0">
      <alignment horizontal="left" vertical="center"/>
    </xf>
    <xf numFmtId="184" fontId="132" fillId="46" borderId="54" applyNumberFormat="0" applyFont="0" applyProtection="0">
      <alignment horizontal="center" vertical="center"/>
    </xf>
    <xf numFmtId="184" fontId="132" fillId="46" borderId="54" applyNumberFormat="0" applyFont="0" applyProtection="0">
      <alignment horizontal="center" vertical="center"/>
    </xf>
    <xf numFmtId="184" fontId="132" fillId="46" borderId="55" applyNumberFormat="0" applyFont="0" applyProtection="0">
      <alignment horizontal="center" vertical="center"/>
    </xf>
    <xf numFmtId="184" fontId="132" fillId="46" borderId="55" applyNumberFormat="0" applyFont="0" applyProtection="0">
      <alignment horizontal="center" vertical="center"/>
    </xf>
    <xf numFmtId="184" fontId="132" fillId="46" borderId="56" applyNumberFormat="0" applyFont="0" applyProtection="0">
      <alignment horizontal="center" vertical="center"/>
    </xf>
    <xf numFmtId="184" fontId="132" fillId="46" borderId="56" applyNumberFormat="0" applyFont="0" applyProtection="0">
      <alignment horizontal="center" vertical="center"/>
    </xf>
    <xf numFmtId="184" fontId="132" fillId="45" borderId="56" applyNumberFormat="0" applyFont="0" applyProtection="0">
      <alignment horizontal="center" vertical="center"/>
    </xf>
    <xf numFmtId="184" fontId="132" fillId="45" borderId="56" applyNumberFormat="0" applyFont="0" applyProtection="0">
      <alignment horizontal="center" vertical="center"/>
    </xf>
    <xf numFmtId="184" fontId="137" fillId="41" borderId="56" applyNumberFormat="0" applyProtection="0">
      <alignment horizontal="center" vertical="center"/>
    </xf>
    <xf numFmtId="184" fontId="137" fillId="46" borderId="56" applyNumberFormat="0" applyProtection="0">
      <alignment horizontal="center" vertical="center"/>
    </xf>
    <xf numFmtId="184" fontId="135" fillId="42" borderId="0" applyNumberFormat="0" applyBorder="0" applyProtection="0">
      <alignment horizontal="center" wrapText="1"/>
    </xf>
    <xf numFmtId="184" fontId="132" fillId="41" borderId="49" applyNumberFormat="0">
      <alignment horizontal="left" vertical="center"/>
    </xf>
    <xf numFmtId="184" fontId="132" fillId="41" borderId="50" applyNumberFormat="0">
      <alignment horizontal="center" vertical="center"/>
    </xf>
    <xf numFmtId="184" fontId="132" fillId="41" borderId="51" applyNumberFormat="0">
      <alignment horizontal="center" vertical="center"/>
    </xf>
    <xf numFmtId="184" fontId="132" fillId="41" borderId="52" applyNumberFormat="0">
      <alignment horizontal="center" vertical="center"/>
    </xf>
    <xf numFmtId="184" fontId="132" fillId="44" borderId="49" applyNumberFormat="0">
      <alignment horizontal="left" vertical="center"/>
    </xf>
    <xf numFmtId="184" fontId="132" fillId="44" borderId="50" applyNumberFormat="0">
      <alignment horizontal="center" vertical="center"/>
    </xf>
    <xf numFmtId="184" fontId="132" fillId="44" borderId="51" applyNumberFormat="0">
      <alignment horizontal="center" vertical="center"/>
    </xf>
    <xf numFmtId="184" fontId="132" fillId="44" borderId="52" applyNumberFormat="0">
      <alignment horizontal="center" vertical="center"/>
    </xf>
    <xf numFmtId="184" fontId="132" fillId="40" borderId="52" applyNumberFormat="0">
      <alignment horizontal="center" vertical="center"/>
    </xf>
    <xf numFmtId="184" fontId="132" fillId="41" borderId="49" applyNumberFormat="0" applyFont="0" applyProtection="0">
      <alignment horizontal="left" vertical="center"/>
    </xf>
    <xf numFmtId="184" fontId="132" fillId="41" borderId="49" applyNumberFormat="0" applyFont="0" applyProtection="0">
      <alignment horizontal="left" vertical="center"/>
    </xf>
    <xf numFmtId="184" fontId="132" fillId="41" borderId="50" applyNumberFormat="0" applyProtection="0">
      <alignment horizontal="center" vertical="center"/>
    </xf>
    <xf numFmtId="184" fontId="132" fillId="41" borderId="50" applyNumberFormat="0" applyProtection="0">
      <alignment horizontal="center" vertical="center"/>
    </xf>
    <xf numFmtId="184" fontId="132" fillId="41" borderId="51" applyNumberFormat="0" applyProtection="0">
      <alignment horizontal="center" vertical="center"/>
    </xf>
    <xf numFmtId="184" fontId="132" fillId="41" borderId="51" applyNumberFormat="0" applyProtection="0">
      <alignment horizontal="center" vertical="center"/>
    </xf>
    <xf numFmtId="184" fontId="132" fillId="41" borderId="52" applyNumberFormat="0" applyProtection="0">
      <alignment horizontal="center" vertical="center"/>
    </xf>
    <xf numFmtId="184" fontId="132" fillId="41" borderId="52" applyNumberFormat="0" applyProtection="0">
      <alignment horizontal="center" vertical="center"/>
    </xf>
    <xf numFmtId="184" fontId="132" fillId="39" borderId="49" applyNumberFormat="0" applyFont="0" applyProtection="0">
      <alignment horizontal="left" vertical="center"/>
    </xf>
    <xf numFmtId="184" fontId="132" fillId="39" borderId="49" applyNumberFormat="0" applyFont="0" applyProtection="0">
      <alignment horizontal="left" vertical="center"/>
    </xf>
    <xf numFmtId="184" fontId="132" fillId="39" borderId="50" applyNumberFormat="0" applyProtection="0">
      <alignment horizontal="center" vertical="center"/>
    </xf>
    <xf numFmtId="184" fontId="132" fillId="39" borderId="50" applyNumberFormat="0" applyProtection="0">
      <alignment horizontal="center" vertical="center"/>
    </xf>
    <xf numFmtId="184" fontId="132" fillId="39" borderId="51" applyNumberFormat="0" applyProtection="0">
      <alignment horizontal="center" vertical="center"/>
    </xf>
    <xf numFmtId="184" fontId="132" fillId="39" borderId="51" applyNumberFormat="0" applyProtection="0">
      <alignment horizontal="center" vertical="center"/>
    </xf>
    <xf numFmtId="184" fontId="132" fillId="39" borderId="52" applyNumberFormat="0" applyProtection="0">
      <alignment horizontal="center" vertical="center"/>
    </xf>
    <xf numFmtId="184" fontId="132" fillId="39" borderId="52" applyNumberFormat="0" applyProtection="0">
      <alignment horizontal="center" vertical="center"/>
    </xf>
    <xf numFmtId="184" fontId="132" fillId="40" borderId="52" applyNumberFormat="0" applyFont="0" applyProtection="0">
      <alignment horizontal="center" vertical="center"/>
    </xf>
    <xf numFmtId="184" fontId="132" fillId="40" borderId="52" applyNumberFormat="0" applyFont="0" applyProtection="0">
      <alignment horizontal="center" vertical="center"/>
    </xf>
    <xf numFmtId="184" fontId="137" fillId="41" borderId="52" applyNumberFormat="0" applyProtection="0">
      <alignment horizontal="center" vertical="center"/>
    </xf>
    <xf numFmtId="184" fontId="137" fillId="39" borderId="52" applyNumberFormat="0" applyProtection="0">
      <alignment horizontal="center" vertical="center"/>
    </xf>
    <xf numFmtId="184" fontId="135" fillId="42" borderId="0" applyNumberFormat="0" applyBorder="0">
      <alignment horizontal="center" wrapText="1"/>
    </xf>
    <xf numFmtId="184" fontId="136" fillId="41" borderId="0" applyNumberFormat="0"/>
    <xf numFmtId="184" fontId="132" fillId="41" borderId="49" applyNumberFormat="0">
      <alignment horizontal="left" vertical="center"/>
    </xf>
    <xf numFmtId="184" fontId="132" fillId="41" borderId="50" applyNumberFormat="0">
      <alignment horizontal="center" vertical="center"/>
    </xf>
    <xf numFmtId="184" fontId="132" fillId="41" borderId="51" applyNumberFormat="0">
      <alignment horizontal="center" vertical="center"/>
    </xf>
    <xf numFmtId="184" fontId="132" fillId="41" borderId="52" applyNumberFormat="0">
      <alignment horizontal="center" vertical="center"/>
    </xf>
    <xf numFmtId="184" fontId="132" fillId="44" borderId="49" applyNumberFormat="0">
      <alignment horizontal="left" vertical="center"/>
    </xf>
    <xf numFmtId="184" fontId="132" fillId="44" borderId="50" applyNumberFormat="0">
      <alignment horizontal="center" vertical="center"/>
    </xf>
    <xf numFmtId="184" fontId="132" fillId="44" borderId="51" applyNumberFormat="0">
      <alignment horizontal="center" vertical="center"/>
    </xf>
    <xf numFmtId="184" fontId="132" fillId="44" borderId="52" applyNumberFormat="0">
      <alignment horizontal="center" vertical="center"/>
    </xf>
    <xf numFmtId="184" fontId="132" fillId="40" borderId="52" applyNumberFormat="0">
      <alignment horizontal="center" vertical="center"/>
    </xf>
    <xf numFmtId="184" fontId="132" fillId="41" borderId="49" applyNumberFormat="0">
      <alignment horizontal="left" vertical="center"/>
    </xf>
    <xf numFmtId="184" fontId="132" fillId="41" borderId="50" applyNumberFormat="0">
      <alignment horizontal="center" vertical="center"/>
    </xf>
    <xf numFmtId="184" fontId="132" fillId="41" borderId="51" applyNumberFormat="0">
      <alignment horizontal="center" vertical="center"/>
    </xf>
    <xf numFmtId="184" fontId="132" fillId="41" borderId="52" applyNumberFormat="0">
      <alignment horizontal="center" vertical="center"/>
    </xf>
    <xf numFmtId="184" fontId="132" fillId="44" borderId="49" applyNumberFormat="0">
      <alignment horizontal="left" vertical="center"/>
    </xf>
    <xf numFmtId="184" fontId="132" fillId="44" borderId="50" applyNumberFormat="0">
      <alignment horizontal="center" vertical="center"/>
    </xf>
    <xf numFmtId="184" fontId="132" fillId="44" borderId="51" applyNumberFormat="0">
      <alignment horizontal="center" vertical="center"/>
    </xf>
    <xf numFmtId="184" fontId="132" fillId="44" borderId="52" applyNumberFormat="0">
      <alignment horizontal="center" vertical="center"/>
    </xf>
    <xf numFmtId="184" fontId="132" fillId="40" borderId="52" applyNumberFormat="0">
      <alignment horizontal="center" vertical="center"/>
    </xf>
    <xf numFmtId="184" fontId="132" fillId="41" borderId="50" applyNumberFormat="0" applyFont="0"/>
    <xf numFmtId="184" fontId="132" fillId="39" borderId="50" applyNumberFormat="0" applyFont="0"/>
    <xf numFmtId="184" fontId="142" fillId="43" borderId="0" applyNumberFormat="0" applyBorder="0" applyAlignment="0" applyProtection="0"/>
    <xf numFmtId="184" fontId="142" fillId="43" borderId="0" applyNumberFormat="0" applyBorder="0" applyAlignment="0" applyProtection="0"/>
    <xf numFmtId="184" fontId="142" fillId="43" borderId="0" applyNumberFormat="0" applyBorder="0" applyAlignment="0" applyProtection="0"/>
    <xf numFmtId="184" fontId="135" fillId="42" borderId="0" applyNumberFormat="0" applyBorder="0">
      <alignment horizontal="center" wrapText="1"/>
    </xf>
    <xf numFmtId="184" fontId="135" fillId="42" borderId="0" applyNumberFormat="0" applyBorder="0">
      <alignment horizontal="center" wrapText="1"/>
    </xf>
    <xf numFmtId="184" fontId="132" fillId="41" borderId="49" applyNumberFormat="0"/>
    <xf numFmtId="184" fontId="132" fillId="41" borderId="50" applyNumberFormat="0"/>
    <xf numFmtId="184" fontId="132" fillId="41" borderId="51" applyNumberFormat="0"/>
    <xf numFmtId="184" fontId="132" fillId="41" borderId="52" applyNumberFormat="0"/>
    <xf numFmtId="184" fontId="132" fillId="39" borderId="49" applyNumberFormat="0"/>
    <xf numFmtId="184" fontId="132" fillId="39" borderId="50" applyNumberFormat="0"/>
    <xf numFmtId="184" fontId="132" fillId="39" borderId="51" applyNumberFormat="0"/>
    <xf numFmtId="184" fontId="132" fillId="39" borderId="52" applyNumberFormat="0"/>
    <xf numFmtId="184" fontId="132" fillId="41" borderId="49" applyNumberFormat="0"/>
    <xf numFmtId="184" fontId="132" fillId="41" borderId="50" applyNumberFormat="0"/>
    <xf numFmtId="184" fontId="132" fillId="41" borderId="51" applyNumberFormat="0"/>
    <xf numFmtId="184" fontId="132" fillId="41" borderId="52" applyNumberFormat="0"/>
    <xf numFmtId="184" fontId="132" fillId="44" borderId="49" applyNumberFormat="0"/>
    <xf numFmtId="184" fontId="132" fillId="44" borderId="50" applyNumberFormat="0"/>
    <xf numFmtId="184" fontId="132" fillId="44" borderId="51" applyNumberFormat="0"/>
    <xf numFmtId="184" fontId="132" fillId="44" borderId="52" applyNumberFormat="0"/>
    <xf numFmtId="184" fontId="135" fillId="42" borderId="0" applyNumberFormat="0" applyBorder="0">
      <alignment horizontal="center" wrapText="1"/>
    </xf>
    <xf numFmtId="184" fontId="132" fillId="41" borderId="49" applyNumberFormat="0">
      <alignment horizontal="left"/>
    </xf>
    <xf numFmtId="184" fontId="132" fillId="41" borderId="50" applyNumberFormat="0"/>
    <xf numFmtId="184" fontId="132" fillId="41" borderId="51" applyNumberFormat="0"/>
    <xf numFmtId="184" fontId="132" fillId="41" borderId="52" applyNumberFormat="0"/>
    <xf numFmtId="184" fontId="132" fillId="44" borderId="49" applyNumberFormat="0">
      <alignment horizontal="left"/>
    </xf>
    <xf numFmtId="184" fontId="132" fillId="44" borderId="50" applyNumberFormat="0"/>
    <xf numFmtId="184" fontId="132" fillId="44" borderId="51" applyNumberFormat="0"/>
    <xf numFmtId="184" fontId="132" fillId="44" borderId="52" applyNumberFormat="0"/>
    <xf numFmtId="184" fontId="135" fillId="42" borderId="0" applyNumberFormat="0" applyBorder="0" applyProtection="0">
      <alignment horizontal="center" wrapText="1"/>
    </xf>
    <xf numFmtId="184" fontId="135" fillId="42" borderId="0" applyNumberFormat="0" applyBorder="0">
      <alignment horizontal="center" wrapText="1"/>
    </xf>
    <xf numFmtId="184" fontId="132" fillId="41" borderId="49" applyNumberFormat="0" applyFont="0" applyProtection="0">
      <alignment horizontal="left"/>
    </xf>
    <xf numFmtId="184" fontId="132" fillId="41" borderId="50" applyNumberFormat="0" applyFont="0" applyAlignment="0" applyProtection="0"/>
    <xf numFmtId="184" fontId="132" fillId="41" borderId="51" applyNumberFormat="0" applyFont="0" applyAlignment="0" applyProtection="0"/>
    <xf numFmtId="184" fontId="132" fillId="41" borderId="52" applyNumberFormat="0" applyFont="0" applyAlignment="0" applyProtection="0"/>
    <xf numFmtId="184" fontId="132" fillId="39" borderId="49" applyNumberFormat="0" applyFont="0" applyProtection="0">
      <alignment horizontal="left"/>
    </xf>
    <xf numFmtId="184" fontId="132" fillId="39" borderId="50" applyNumberFormat="0" applyFont="0" applyAlignment="0" applyProtection="0"/>
    <xf numFmtId="184" fontId="132" fillId="39" borderId="51" applyNumberFormat="0" applyFont="0" applyAlignment="0" applyProtection="0"/>
    <xf numFmtId="184" fontId="132" fillId="39" borderId="52" applyNumberFormat="0" applyFont="0" applyAlignment="0" applyProtection="0"/>
    <xf numFmtId="184" fontId="132" fillId="40" borderId="52" applyNumberFormat="0" applyFont="0" applyProtection="0">
      <alignment horizontal="center" vertical="center"/>
    </xf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6" fillId="41" borderId="0" applyNumberFormat="0" applyAlignment="0" applyProtection="0"/>
    <xf numFmtId="184" fontId="135" fillId="42" borderId="0" applyNumberFormat="0" applyBorder="0" applyProtection="0">
      <alignment horizontal="center" wrapText="1"/>
    </xf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6" fillId="41" borderId="0" applyNumberFormat="0"/>
    <xf numFmtId="184" fontId="132" fillId="41" borderId="49" applyNumberFormat="0">
      <alignment horizontal="left" vertical="center"/>
    </xf>
    <xf numFmtId="184" fontId="132" fillId="41" borderId="50" applyNumberFormat="0">
      <alignment horizontal="center" vertical="center"/>
    </xf>
    <xf numFmtId="184" fontId="132" fillId="41" borderId="51" applyNumberFormat="0">
      <alignment horizontal="center" vertical="center"/>
    </xf>
    <xf numFmtId="184" fontId="132" fillId="41" borderId="52" applyNumberFormat="0">
      <alignment horizontal="center" vertical="center"/>
    </xf>
    <xf numFmtId="184" fontId="132" fillId="44" borderId="49" applyNumberFormat="0">
      <alignment horizontal="left" vertical="center"/>
    </xf>
    <xf numFmtId="184" fontId="132" fillId="44" borderId="50" applyNumberFormat="0">
      <alignment horizontal="center" vertical="center"/>
    </xf>
    <xf numFmtId="184" fontId="132" fillId="44" borderId="51" applyNumberFormat="0">
      <alignment horizontal="center" vertical="center"/>
    </xf>
    <xf numFmtId="184" fontId="132" fillId="44" borderId="52" applyNumberFormat="0">
      <alignment horizontal="center" vertical="center"/>
    </xf>
    <xf numFmtId="184" fontId="132" fillId="40" borderId="52" applyNumberFormat="0">
      <alignment horizontal="center" vertical="center"/>
    </xf>
    <xf numFmtId="184" fontId="135" fillId="42" borderId="0" applyNumberFormat="0" applyBorder="0">
      <alignment horizontal="center" wrapText="1"/>
    </xf>
    <xf numFmtId="184" fontId="132" fillId="41" borderId="49" applyNumberFormat="0" applyFont="0" applyProtection="0">
      <alignment horizontal="left"/>
    </xf>
    <xf numFmtId="184" fontId="132" fillId="41" borderId="50" applyNumberFormat="0" applyFont="0" applyAlignment="0" applyProtection="0"/>
    <xf numFmtId="184" fontId="132" fillId="41" borderId="51" applyNumberFormat="0" applyFont="0" applyAlignment="0" applyProtection="0"/>
    <xf numFmtId="184" fontId="132" fillId="41" borderId="52" applyNumberFormat="0" applyFont="0" applyAlignment="0" applyProtection="0"/>
    <xf numFmtId="184" fontId="143" fillId="0" borderId="0"/>
    <xf numFmtId="184" fontId="143" fillId="0" borderId="0"/>
    <xf numFmtId="170" fontId="143" fillId="0" borderId="0" applyBorder="0"/>
    <xf numFmtId="168" fontId="143" fillId="0" borderId="0" applyBorder="0"/>
    <xf numFmtId="169" fontId="143" fillId="0" borderId="0" applyBorder="0"/>
    <xf numFmtId="167" fontId="143" fillId="0" borderId="0" applyBorder="0"/>
    <xf numFmtId="184" fontId="144" fillId="0" borderId="0" applyNumberFormat="0" applyBorder="0"/>
    <xf numFmtId="184" fontId="145" fillId="0" borderId="0" applyNumberFormat="0" applyBorder="0"/>
    <xf numFmtId="9" fontId="143" fillId="0" borderId="0" applyBorder="0"/>
    <xf numFmtId="184" fontId="144" fillId="0" borderId="0" applyNumberFormat="0" applyBorder="0"/>
    <xf numFmtId="184" fontId="145" fillId="0" borderId="0" applyNumberFormat="0" applyBorder="0"/>
    <xf numFmtId="9" fontId="143" fillId="0" borderId="0" applyBorder="0"/>
    <xf numFmtId="184" fontId="144" fillId="0" borderId="0" applyNumberFormat="0" applyBorder="0"/>
    <xf numFmtId="184" fontId="145" fillId="0" borderId="0" applyNumberFormat="0" applyBorder="0"/>
    <xf numFmtId="9" fontId="143" fillId="0" borderId="0" applyBorder="0"/>
    <xf numFmtId="184" fontId="144" fillId="0" borderId="0" applyNumberFormat="0" applyBorder="0"/>
    <xf numFmtId="184" fontId="145" fillId="0" borderId="0" applyNumberFormat="0" applyBorder="0"/>
    <xf numFmtId="9" fontId="143" fillId="0" borderId="0" applyBorder="0"/>
    <xf numFmtId="184" fontId="144" fillId="0" borderId="0" applyNumberFormat="0" applyBorder="0"/>
    <xf numFmtId="184" fontId="144" fillId="0" borderId="0" applyNumberFormat="0" applyBorder="0" applyAlignment="0" applyProtection="0"/>
    <xf numFmtId="184" fontId="145" fillId="0" borderId="0" applyNumberFormat="0" applyBorder="0" applyAlignment="0" applyProtection="0"/>
    <xf numFmtId="9" fontId="143" fillId="0" borderId="0" applyBorder="0"/>
    <xf numFmtId="184" fontId="145" fillId="0" borderId="0" applyNumberFormat="0" applyBorder="0"/>
    <xf numFmtId="9" fontId="143" fillId="0" borderId="0" applyBorder="0"/>
    <xf numFmtId="9" fontId="143" fillId="0" borderId="0" applyBorder="0"/>
    <xf numFmtId="184" fontId="149" fillId="0" borderId="0" applyNumberFormat="0" applyBorder="0" applyAlignment="0" applyProtection="0"/>
    <xf numFmtId="184" fontId="150" fillId="0" borderId="0" applyNumberFormat="0" applyBorder="0" applyAlignment="0" applyProtection="0"/>
    <xf numFmtId="9" fontId="143" fillId="0" borderId="0" applyFont="0" applyBorder="0"/>
    <xf numFmtId="9" fontId="143" fillId="0" borderId="0" applyFont="0" applyBorder="0"/>
    <xf numFmtId="184" fontId="143" fillId="39" borderId="49" applyNumberFormat="0" applyFont="0" applyProtection="0">
      <alignment horizontal="left"/>
    </xf>
    <xf numFmtId="184" fontId="143" fillId="39" borderId="50" applyNumberFormat="0" applyFont="0" applyAlignment="0" applyProtection="0"/>
    <xf numFmtId="184" fontId="143" fillId="39" borderId="51" applyNumberFormat="0" applyFont="0" applyAlignment="0" applyProtection="0"/>
    <xf numFmtId="184" fontId="143" fillId="39" borderId="52" applyNumberFormat="0" applyFont="0" applyAlignment="0" applyProtection="0"/>
    <xf numFmtId="184" fontId="143" fillId="40" borderId="52" applyNumberFormat="0" applyFont="0" applyProtection="0">
      <alignment horizontal="center" vertical="center"/>
    </xf>
    <xf numFmtId="184" fontId="147" fillId="41" borderId="0" applyNumberFormat="0" applyAlignment="0" applyProtection="0"/>
    <xf numFmtId="184" fontId="146" fillId="42" borderId="0" applyNumberFormat="0" applyBorder="0" applyProtection="0">
      <alignment horizontal="center" wrapText="1"/>
    </xf>
    <xf numFmtId="184" fontId="146" fillId="42" borderId="0" applyNumberFormat="0" applyBorder="0" applyProtection="0">
      <alignment horizontal="center" wrapText="1"/>
    </xf>
    <xf numFmtId="184" fontId="147" fillId="41" borderId="0" applyNumberFormat="0"/>
    <xf numFmtId="184" fontId="143" fillId="41" borderId="49" applyNumberFormat="0">
      <alignment horizontal="left" vertical="center"/>
    </xf>
    <xf numFmtId="184" fontId="143" fillId="41" borderId="50" applyNumberFormat="0">
      <alignment horizontal="center" vertical="center"/>
    </xf>
    <xf numFmtId="184" fontId="143" fillId="41" borderId="51" applyNumberFormat="0">
      <alignment horizontal="center" vertical="center"/>
    </xf>
    <xf numFmtId="184" fontId="143" fillId="41" borderId="49" applyNumberFormat="0" applyFont="0" applyProtection="0">
      <alignment horizontal="left"/>
    </xf>
    <xf numFmtId="184" fontId="143" fillId="41" borderId="50" applyNumberFormat="0" applyFont="0" applyAlignment="0" applyProtection="0"/>
    <xf numFmtId="184" fontId="143" fillId="41" borderId="51" applyNumberFormat="0" applyFont="0" applyAlignment="0" applyProtection="0"/>
    <xf numFmtId="184" fontId="143" fillId="41" borderId="52" applyNumberFormat="0" applyFont="0" applyAlignment="0" applyProtection="0"/>
    <xf numFmtId="184" fontId="143" fillId="39" borderId="49" applyNumberFormat="0" applyFont="0" applyProtection="0">
      <alignment horizontal="left"/>
    </xf>
    <xf numFmtId="184" fontId="143" fillId="39" borderId="50" applyNumberFormat="0" applyFont="0" applyAlignment="0" applyProtection="0"/>
    <xf numFmtId="184" fontId="143" fillId="39" borderId="51" applyNumberFormat="0" applyFont="0" applyAlignment="0" applyProtection="0"/>
    <xf numFmtId="184" fontId="143" fillId="39" borderId="52" applyNumberFormat="0" applyFont="0" applyAlignment="0" applyProtection="0"/>
    <xf numFmtId="184" fontId="143" fillId="40" borderId="52" applyNumberFormat="0" applyFont="0" applyProtection="0">
      <alignment horizontal="center" vertical="center"/>
    </xf>
    <xf numFmtId="184" fontId="148" fillId="39" borderId="52" applyNumberFormat="0" applyProtection="0">
      <alignment horizontal="center" vertical="center"/>
    </xf>
    <xf numFmtId="184" fontId="147" fillId="43" borderId="0" applyNumberFormat="0" applyBorder="0" applyAlignment="0" applyProtection="0"/>
    <xf numFmtId="184" fontId="151" fillId="43" borderId="0" applyNumberFormat="0" applyBorder="0" applyProtection="0">
      <alignment horizontal="center"/>
    </xf>
    <xf numFmtId="184" fontId="147" fillId="41" borderId="0" applyNumberFormat="0" applyAlignment="0" applyProtection="0"/>
    <xf numFmtId="184" fontId="143" fillId="41" borderId="49" applyNumberFormat="0">
      <alignment horizontal="left" vertical="center"/>
    </xf>
    <xf numFmtId="184" fontId="143" fillId="41" borderId="50" applyNumberFormat="0">
      <alignment horizontal="center" vertical="center"/>
    </xf>
    <xf numFmtId="184" fontId="143" fillId="41" borderId="51" applyNumberFormat="0">
      <alignment horizontal="center" vertical="center"/>
    </xf>
    <xf numFmtId="184" fontId="143" fillId="41" borderId="52" applyNumberFormat="0">
      <alignment horizontal="center" vertical="center"/>
    </xf>
    <xf numFmtId="184" fontId="143" fillId="44" borderId="49" applyNumberFormat="0">
      <alignment horizontal="left" vertical="center"/>
    </xf>
    <xf numFmtId="184" fontId="143" fillId="44" borderId="50" applyNumberFormat="0">
      <alignment horizontal="center" vertical="center"/>
    </xf>
    <xf numFmtId="184" fontId="143" fillId="44" borderId="51" applyNumberFormat="0">
      <alignment horizontal="center" vertical="center"/>
    </xf>
    <xf numFmtId="184" fontId="143" fillId="44" borderId="52" applyNumberFormat="0">
      <alignment horizontal="center" vertical="center"/>
    </xf>
    <xf numFmtId="184" fontId="143" fillId="40" borderId="52" applyNumberFormat="0">
      <alignment horizontal="center" vertical="center"/>
    </xf>
    <xf numFmtId="184" fontId="147" fillId="41" borderId="0" applyNumberFormat="0" applyAlignment="0" applyProtection="0"/>
    <xf numFmtId="184" fontId="152" fillId="45" borderId="0" applyNumberFormat="0" applyBorder="0" applyAlignment="0" applyProtection="0"/>
    <xf numFmtId="184" fontId="143" fillId="41" borderId="53" applyNumberFormat="0" applyFont="0" applyProtection="0">
      <alignment horizontal="left" vertical="center"/>
    </xf>
    <xf numFmtId="184" fontId="143" fillId="41" borderId="53" applyNumberFormat="0" applyFont="0" applyProtection="0">
      <alignment horizontal="left" vertical="center"/>
    </xf>
    <xf numFmtId="184" fontId="143" fillId="41" borderId="54" applyNumberFormat="0" applyProtection="0">
      <alignment horizontal="center" vertical="center"/>
    </xf>
    <xf numFmtId="184" fontId="143" fillId="41" borderId="54" applyNumberFormat="0" applyProtection="0">
      <alignment horizontal="center" vertical="center"/>
    </xf>
    <xf numFmtId="184" fontId="143" fillId="41" borderId="55" applyNumberFormat="0" applyProtection="0">
      <alignment horizontal="center" vertical="center"/>
    </xf>
    <xf numFmtId="184" fontId="143" fillId="41" borderId="55" applyNumberFormat="0" applyProtection="0">
      <alignment horizontal="center" vertical="center"/>
    </xf>
    <xf numFmtId="184" fontId="143" fillId="41" borderId="56" applyNumberFormat="0" applyProtection="0">
      <alignment horizontal="center" vertical="center"/>
    </xf>
    <xf numFmtId="184" fontId="143" fillId="41" borderId="56" applyNumberFormat="0" applyProtection="0">
      <alignment horizontal="center" vertical="center"/>
    </xf>
    <xf numFmtId="184" fontId="143" fillId="46" borderId="53" applyNumberFormat="0" applyFont="0" applyProtection="0">
      <alignment horizontal="left" vertical="center"/>
    </xf>
    <xf numFmtId="184" fontId="143" fillId="46" borderId="53" applyNumberFormat="0" applyFont="0" applyProtection="0">
      <alignment horizontal="left" vertical="center"/>
    </xf>
    <xf numFmtId="184" fontId="143" fillId="46" borderId="54" applyNumberFormat="0" applyFont="0" applyProtection="0">
      <alignment horizontal="center" vertical="center"/>
    </xf>
    <xf numFmtId="184" fontId="143" fillId="46" borderId="54" applyNumberFormat="0" applyFont="0" applyProtection="0">
      <alignment horizontal="center" vertical="center"/>
    </xf>
    <xf numFmtId="184" fontId="143" fillId="46" borderId="55" applyNumberFormat="0" applyFont="0" applyProtection="0">
      <alignment horizontal="center" vertical="center"/>
    </xf>
    <xf numFmtId="184" fontId="143" fillId="46" borderId="55" applyNumberFormat="0" applyFont="0" applyProtection="0">
      <alignment horizontal="center" vertical="center"/>
    </xf>
    <xf numFmtId="184" fontId="143" fillId="46" borderId="56" applyNumberFormat="0" applyFont="0" applyProtection="0">
      <alignment horizontal="center" vertical="center"/>
    </xf>
    <xf numFmtId="184" fontId="143" fillId="46" borderId="56" applyNumberFormat="0" applyFont="0" applyProtection="0">
      <alignment horizontal="center" vertical="center"/>
    </xf>
    <xf numFmtId="184" fontId="143" fillId="45" borderId="56" applyNumberFormat="0" applyFont="0" applyProtection="0">
      <alignment horizontal="center" vertical="center"/>
    </xf>
    <xf numFmtId="184" fontId="143" fillId="45" borderId="56" applyNumberFormat="0" applyFont="0" applyProtection="0">
      <alignment horizontal="center" vertical="center"/>
    </xf>
    <xf numFmtId="184" fontId="148" fillId="41" borderId="56" applyNumberFormat="0" applyProtection="0">
      <alignment horizontal="center" vertical="center"/>
    </xf>
    <xf numFmtId="184" fontId="148" fillId="46" borderId="56" applyNumberFormat="0" applyProtection="0">
      <alignment horizontal="center" vertical="center"/>
    </xf>
    <xf numFmtId="184" fontId="146" fillId="42" borderId="0" applyNumberFormat="0" applyBorder="0" applyProtection="0">
      <alignment horizontal="center" wrapText="1"/>
    </xf>
    <xf numFmtId="184" fontId="143" fillId="41" borderId="49" applyNumberFormat="0">
      <alignment horizontal="left" vertical="center"/>
    </xf>
    <xf numFmtId="184" fontId="143" fillId="41" borderId="50" applyNumberFormat="0">
      <alignment horizontal="center" vertical="center"/>
    </xf>
    <xf numFmtId="184" fontId="143" fillId="41" borderId="51" applyNumberFormat="0">
      <alignment horizontal="center" vertical="center"/>
    </xf>
    <xf numFmtId="184" fontId="143" fillId="41" borderId="52" applyNumberFormat="0">
      <alignment horizontal="center" vertical="center"/>
    </xf>
    <xf numFmtId="184" fontId="143" fillId="44" borderId="49" applyNumberFormat="0">
      <alignment horizontal="left" vertical="center"/>
    </xf>
    <xf numFmtId="184" fontId="143" fillId="44" borderId="50" applyNumberFormat="0">
      <alignment horizontal="center" vertical="center"/>
    </xf>
    <xf numFmtId="184" fontId="143" fillId="44" borderId="51" applyNumberFormat="0">
      <alignment horizontal="center" vertical="center"/>
    </xf>
    <xf numFmtId="184" fontId="143" fillId="44" borderId="52" applyNumberFormat="0">
      <alignment horizontal="center" vertical="center"/>
    </xf>
    <xf numFmtId="184" fontId="143" fillId="40" borderId="52" applyNumberFormat="0">
      <alignment horizontal="center" vertical="center"/>
    </xf>
    <xf numFmtId="184" fontId="143" fillId="41" borderId="49" applyNumberFormat="0" applyFont="0" applyProtection="0">
      <alignment horizontal="left" vertical="center"/>
    </xf>
    <xf numFmtId="184" fontId="143" fillId="41" borderId="49" applyNumberFormat="0" applyFont="0" applyProtection="0">
      <alignment horizontal="left" vertical="center"/>
    </xf>
    <xf numFmtId="184" fontId="143" fillId="41" borderId="50" applyNumberFormat="0" applyProtection="0">
      <alignment horizontal="center" vertical="center"/>
    </xf>
    <xf numFmtId="184" fontId="143" fillId="41" borderId="50" applyNumberFormat="0" applyProtection="0">
      <alignment horizontal="center" vertical="center"/>
    </xf>
    <xf numFmtId="184" fontId="143" fillId="41" borderId="51" applyNumberFormat="0" applyProtection="0">
      <alignment horizontal="center" vertical="center"/>
    </xf>
    <xf numFmtId="184" fontId="143" fillId="41" borderId="51" applyNumberFormat="0" applyProtection="0">
      <alignment horizontal="center" vertical="center"/>
    </xf>
    <xf numFmtId="184" fontId="143" fillId="41" borderId="52" applyNumberFormat="0" applyProtection="0">
      <alignment horizontal="center" vertical="center"/>
    </xf>
    <xf numFmtId="184" fontId="143" fillId="41" borderId="52" applyNumberFormat="0" applyProtection="0">
      <alignment horizontal="center" vertical="center"/>
    </xf>
    <xf numFmtId="184" fontId="143" fillId="39" borderId="49" applyNumberFormat="0" applyFont="0" applyProtection="0">
      <alignment horizontal="left" vertical="center"/>
    </xf>
    <xf numFmtId="184" fontId="143" fillId="39" borderId="49" applyNumberFormat="0" applyFont="0" applyProtection="0">
      <alignment horizontal="left" vertical="center"/>
    </xf>
    <xf numFmtId="184" fontId="143" fillId="39" borderId="50" applyNumberFormat="0" applyProtection="0">
      <alignment horizontal="center" vertical="center"/>
    </xf>
    <xf numFmtId="184" fontId="143" fillId="39" borderId="50" applyNumberFormat="0" applyProtection="0">
      <alignment horizontal="center" vertical="center"/>
    </xf>
    <xf numFmtId="184" fontId="143" fillId="39" borderId="51" applyNumberFormat="0" applyProtection="0">
      <alignment horizontal="center" vertical="center"/>
    </xf>
    <xf numFmtId="184" fontId="143" fillId="39" borderId="51" applyNumberFormat="0" applyProtection="0">
      <alignment horizontal="center" vertical="center"/>
    </xf>
    <xf numFmtId="184" fontId="143" fillId="39" borderId="52" applyNumberFormat="0" applyProtection="0">
      <alignment horizontal="center" vertical="center"/>
    </xf>
    <xf numFmtId="184" fontId="143" fillId="39" borderId="52" applyNumberFormat="0" applyProtection="0">
      <alignment horizontal="center" vertical="center"/>
    </xf>
    <xf numFmtId="184" fontId="143" fillId="40" borderId="52" applyNumberFormat="0" applyFont="0" applyProtection="0">
      <alignment horizontal="center" vertical="center"/>
    </xf>
    <xf numFmtId="184" fontId="143" fillId="40" borderId="52" applyNumberFormat="0" applyFont="0" applyProtection="0">
      <alignment horizontal="center" vertical="center"/>
    </xf>
    <xf numFmtId="184" fontId="148" fillId="41" borderId="52" applyNumberFormat="0" applyProtection="0">
      <alignment horizontal="center" vertical="center"/>
    </xf>
    <xf numFmtId="184" fontId="148" fillId="39" borderId="52" applyNumberFormat="0" applyProtection="0">
      <alignment horizontal="center" vertical="center"/>
    </xf>
    <xf numFmtId="184" fontId="146" fillId="42" borderId="0" applyNumberFormat="0" applyBorder="0">
      <alignment horizontal="center" wrapText="1"/>
    </xf>
    <xf numFmtId="184" fontId="147" fillId="41" borderId="0" applyNumberFormat="0"/>
    <xf numFmtId="184" fontId="143" fillId="41" borderId="49" applyNumberFormat="0">
      <alignment horizontal="left" vertical="center"/>
    </xf>
    <xf numFmtId="184" fontId="143" fillId="41" borderId="50" applyNumberFormat="0">
      <alignment horizontal="center" vertical="center"/>
    </xf>
    <xf numFmtId="184" fontId="143" fillId="41" borderId="51" applyNumberFormat="0">
      <alignment horizontal="center" vertical="center"/>
    </xf>
    <xf numFmtId="184" fontId="143" fillId="41" borderId="52" applyNumberFormat="0">
      <alignment horizontal="center" vertical="center"/>
    </xf>
    <xf numFmtId="184" fontId="143" fillId="44" borderId="49" applyNumberFormat="0">
      <alignment horizontal="left" vertical="center"/>
    </xf>
    <xf numFmtId="184" fontId="143" fillId="44" borderId="50" applyNumberFormat="0">
      <alignment horizontal="center" vertical="center"/>
    </xf>
    <xf numFmtId="184" fontId="143" fillId="44" borderId="51" applyNumberFormat="0">
      <alignment horizontal="center" vertical="center"/>
    </xf>
    <xf numFmtId="184" fontId="143" fillId="44" borderId="52" applyNumberFormat="0">
      <alignment horizontal="center" vertical="center"/>
    </xf>
    <xf numFmtId="184" fontId="143" fillId="40" borderId="52" applyNumberFormat="0">
      <alignment horizontal="center" vertical="center"/>
    </xf>
    <xf numFmtId="184" fontId="143" fillId="41" borderId="49" applyNumberFormat="0">
      <alignment horizontal="left" vertical="center"/>
    </xf>
    <xf numFmtId="184" fontId="143" fillId="41" borderId="50" applyNumberFormat="0">
      <alignment horizontal="center" vertical="center"/>
    </xf>
    <xf numFmtId="184" fontId="143" fillId="41" borderId="51" applyNumberFormat="0">
      <alignment horizontal="center" vertical="center"/>
    </xf>
    <xf numFmtId="184" fontId="143" fillId="41" borderId="52" applyNumberFormat="0">
      <alignment horizontal="center" vertical="center"/>
    </xf>
    <xf numFmtId="184" fontId="143" fillId="44" borderId="49" applyNumberFormat="0">
      <alignment horizontal="left" vertical="center"/>
    </xf>
    <xf numFmtId="184" fontId="143" fillId="44" borderId="50" applyNumberFormat="0">
      <alignment horizontal="center" vertical="center"/>
    </xf>
    <xf numFmtId="184" fontId="143" fillId="44" borderId="51" applyNumberFormat="0">
      <alignment horizontal="center" vertical="center"/>
    </xf>
    <xf numFmtId="184" fontId="143" fillId="44" borderId="52" applyNumberFormat="0">
      <alignment horizontal="center" vertical="center"/>
    </xf>
    <xf numFmtId="184" fontId="143" fillId="40" borderId="52" applyNumberFormat="0">
      <alignment horizontal="center" vertical="center"/>
    </xf>
    <xf numFmtId="184" fontId="143" fillId="41" borderId="50" applyNumberFormat="0" applyFont="0"/>
    <xf numFmtId="184" fontId="143" fillId="39" borderId="50" applyNumberFormat="0" applyFont="0"/>
    <xf numFmtId="184" fontId="153" fillId="43" borderId="0" applyNumberFormat="0" applyBorder="0" applyAlignment="0" applyProtection="0"/>
    <xf numFmtId="184" fontId="153" fillId="43" borderId="0" applyNumberFormat="0" applyBorder="0" applyAlignment="0" applyProtection="0"/>
    <xf numFmtId="184" fontId="153" fillId="43" borderId="0" applyNumberFormat="0" applyBorder="0" applyAlignment="0" applyProtection="0"/>
    <xf numFmtId="184" fontId="146" fillId="42" borderId="0" applyNumberFormat="0" applyBorder="0">
      <alignment horizontal="center" wrapText="1"/>
    </xf>
    <xf numFmtId="184" fontId="146" fillId="42" borderId="0" applyNumberFormat="0" applyBorder="0">
      <alignment horizontal="center" wrapText="1"/>
    </xf>
    <xf numFmtId="184" fontId="143" fillId="41" borderId="49" applyNumberFormat="0"/>
    <xf numFmtId="184" fontId="143" fillId="41" borderId="50" applyNumberFormat="0"/>
    <xf numFmtId="184" fontId="143" fillId="41" borderId="51" applyNumberFormat="0"/>
    <xf numFmtId="184" fontId="143" fillId="41" borderId="52" applyNumberFormat="0"/>
    <xf numFmtId="184" fontId="143" fillId="39" borderId="49" applyNumberFormat="0"/>
    <xf numFmtId="184" fontId="143" fillId="39" borderId="50" applyNumberFormat="0"/>
    <xf numFmtId="184" fontId="143" fillId="39" borderId="51" applyNumberFormat="0"/>
    <xf numFmtId="184" fontId="143" fillId="39" borderId="52" applyNumberFormat="0"/>
    <xf numFmtId="184" fontId="143" fillId="41" borderId="49" applyNumberFormat="0"/>
    <xf numFmtId="184" fontId="143" fillId="41" borderId="50" applyNumberFormat="0"/>
    <xf numFmtId="184" fontId="143" fillId="41" borderId="51" applyNumberFormat="0"/>
    <xf numFmtId="184" fontId="143" fillId="41" borderId="52" applyNumberFormat="0"/>
    <xf numFmtId="184" fontId="143" fillId="44" borderId="49" applyNumberFormat="0"/>
    <xf numFmtId="184" fontId="143" fillId="44" borderId="50" applyNumberFormat="0"/>
    <xf numFmtId="184" fontId="143" fillId="44" borderId="51" applyNumberFormat="0"/>
    <xf numFmtId="184" fontId="143" fillId="44" borderId="52" applyNumberFormat="0"/>
    <xf numFmtId="184" fontId="146" fillId="42" borderId="0" applyNumberFormat="0" applyBorder="0">
      <alignment horizontal="center" wrapText="1"/>
    </xf>
    <xf numFmtId="184" fontId="143" fillId="41" borderId="49" applyNumberFormat="0">
      <alignment horizontal="left"/>
    </xf>
    <xf numFmtId="184" fontId="143" fillId="41" borderId="50" applyNumberFormat="0"/>
    <xf numFmtId="184" fontId="143" fillId="41" borderId="51" applyNumberFormat="0"/>
    <xf numFmtId="184" fontId="143" fillId="41" borderId="52" applyNumberFormat="0"/>
    <xf numFmtId="184" fontId="143" fillId="44" borderId="49" applyNumberFormat="0">
      <alignment horizontal="left"/>
    </xf>
    <xf numFmtId="184" fontId="143" fillId="44" borderId="50" applyNumberFormat="0"/>
    <xf numFmtId="184" fontId="143" fillId="44" borderId="51" applyNumberFormat="0"/>
    <xf numFmtId="184" fontId="143" fillId="44" borderId="52" applyNumberFormat="0"/>
    <xf numFmtId="184" fontId="146" fillId="42" borderId="0" applyNumberFormat="0" applyBorder="0" applyProtection="0">
      <alignment horizontal="center" wrapText="1"/>
    </xf>
    <xf numFmtId="184" fontId="146" fillId="42" borderId="0" applyNumberFormat="0" applyBorder="0">
      <alignment horizontal="center" wrapText="1"/>
    </xf>
    <xf numFmtId="184" fontId="143" fillId="41" borderId="49" applyNumberFormat="0" applyFont="0" applyProtection="0">
      <alignment horizontal="left"/>
    </xf>
    <xf numFmtId="184" fontId="143" fillId="41" borderId="50" applyNumberFormat="0" applyFont="0" applyAlignment="0" applyProtection="0"/>
    <xf numFmtId="184" fontId="143" fillId="41" borderId="51" applyNumberFormat="0" applyFont="0" applyAlignment="0" applyProtection="0"/>
    <xf numFmtId="184" fontId="143" fillId="41" borderId="52" applyNumberFormat="0" applyFont="0" applyAlignment="0" applyProtection="0"/>
    <xf numFmtId="184" fontId="143" fillId="39" borderId="49" applyNumberFormat="0" applyFont="0" applyProtection="0">
      <alignment horizontal="left"/>
    </xf>
    <xf numFmtId="184" fontId="143" fillId="39" borderId="50" applyNumberFormat="0" applyFont="0" applyAlignment="0" applyProtection="0"/>
    <xf numFmtId="184" fontId="143" fillId="39" borderId="51" applyNumberFormat="0" applyFont="0" applyAlignment="0" applyProtection="0"/>
    <xf numFmtId="184" fontId="143" fillId="39" borderId="52" applyNumberFormat="0" applyFont="0" applyAlignment="0" applyProtection="0"/>
    <xf numFmtId="184" fontId="143" fillId="40" borderId="52" applyNumberFormat="0" applyFont="0" applyProtection="0">
      <alignment horizontal="center" vertical="center"/>
    </xf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7" fillId="41" borderId="0" applyNumberFormat="0" applyAlignment="0" applyProtection="0"/>
    <xf numFmtId="184" fontId="146" fillId="42" borderId="0" applyNumberFormat="0" applyBorder="0" applyProtection="0">
      <alignment horizontal="center" wrapText="1"/>
    </xf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7" fillId="41" borderId="0" applyNumberFormat="0"/>
    <xf numFmtId="184" fontId="143" fillId="41" borderId="49" applyNumberFormat="0">
      <alignment horizontal="left" vertical="center"/>
    </xf>
    <xf numFmtId="184" fontId="143" fillId="41" borderId="50" applyNumberFormat="0">
      <alignment horizontal="center" vertical="center"/>
    </xf>
    <xf numFmtId="184" fontId="143" fillId="41" borderId="51" applyNumberFormat="0">
      <alignment horizontal="center" vertical="center"/>
    </xf>
    <xf numFmtId="184" fontId="143" fillId="41" borderId="52" applyNumberFormat="0">
      <alignment horizontal="center" vertical="center"/>
    </xf>
    <xf numFmtId="184" fontId="143" fillId="44" borderId="49" applyNumberFormat="0">
      <alignment horizontal="left" vertical="center"/>
    </xf>
    <xf numFmtId="184" fontId="143" fillId="44" borderId="50" applyNumberFormat="0">
      <alignment horizontal="center" vertical="center"/>
    </xf>
    <xf numFmtId="184" fontId="143" fillId="44" borderId="51" applyNumberFormat="0">
      <alignment horizontal="center" vertical="center"/>
    </xf>
    <xf numFmtId="184" fontId="143" fillId="44" borderId="52" applyNumberFormat="0">
      <alignment horizontal="center" vertical="center"/>
    </xf>
    <xf numFmtId="184" fontId="143" fillId="40" borderId="52" applyNumberFormat="0">
      <alignment horizontal="center" vertical="center"/>
    </xf>
    <xf numFmtId="184" fontId="146" fillId="42" borderId="0" applyNumberFormat="0" applyBorder="0">
      <alignment horizontal="center" wrapText="1"/>
    </xf>
    <xf numFmtId="184" fontId="143" fillId="41" borderId="49" applyNumberFormat="0" applyFont="0" applyProtection="0">
      <alignment horizontal="left"/>
    </xf>
    <xf numFmtId="184" fontId="143" fillId="41" borderId="50" applyNumberFormat="0" applyFont="0" applyAlignment="0" applyProtection="0"/>
    <xf numFmtId="184" fontId="143" fillId="41" borderId="51" applyNumberFormat="0" applyFont="0" applyAlignment="0" applyProtection="0"/>
    <xf numFmtId="184" fontId="143" fillId="41" borderId="52" applyNumberFormat="0" applyFont="0" applyAlignment="0" applyProtection="0"/>
    <xf numFmtId="184" fontId="1" fillId="0" borderId="0"/>
    <xf numFmtId="184" fontId="1" fillId="0" borderId="0"/>
    <xf numFmtId="184" fontId="1" fillId="0" borderId="0"/>
    <xf numFmtId="184" fontId="154" fillId="0" borderId="0"/>
    <xf numFmtId="184" fontId="154" fillId="0" borderId="0"/>
    <xf numFmtId="170" fontId="154" fillId="0" borderId="0" applyBorder="0"/>
    <xf numFmtId="168" fontId="154" fillId="0" borderId="0" applyBorder="0"/>
    <xf numFmtId="169" fontId="154" fillId="0" borderId="0" applyBorder="0"/>
    <xf numFmtId="167" fontId="154" fillId="0" borderId="0" applyBorder="0"/>
    <xf numFmtId="184" fontId="155" fillId="0" borderId="0" applyNumberFormat="0" applyBorder="0"/>
    <xf numFmtId="184" fontId="156" fillId="0" borderId="0" applyNumberFormat="0" applyBorder="0"/>
    <xf numFmtId="9" fontId="154" fillId="0" borderId="0" applyBorder="0"/>
    <xf numFmtId="184" fontId="155" fillId="0" borderId="0" applyNumberFormat="0" applyBorder="0"/>
    <xf numFmtId="184" fontId="156" fillId="0" borderId="0" applyNumberFormat="0" applyBorder="0"/>
    <xf numFmtId="9" fontId="154" fillId="0" borderId="0" applyBorder="0"/>
    <xf numFmtId="184" fontId="155" fillId="0" borderId="0" applyNumberFormat="0" applyBorder="0"/>
    <xf numFmtId="184" fontId="156" fillId="0" borderId="0" applyNumberFormat="0" applyBorder="0"/>
    <xf numFmtId="9" fontId="154" fillId="0" borderId="0" applyBorder="0"/>
    <xf numFmtId="184" fontId="155" fillId="0" borderId="0" applyNumberFormat="0" applyBorder="0"/>
    <xf numFmtId="184" fontId="156" fillId="0" borderId="0" applyNumberFormat="0" applyBorder="0"/>
    <xf numFmtId="9" fontId="154" fillId="0" borderId="0" applyBorder="0"/>
    <xf numFmtId="184" fontId="155" fillId="0" borderId="0" applyNumberFormat="0" applyBorder="0"/>
    <xf numFmtId="184" fontId="155" fillId="0" borderId="0" applyNumberFormat="0" applyBorder="0" applyAlignment="0" applyProtection="0"/>
    <xf numFmtId="184" fontId="156" fillId="0" borderId="0" applyNumberFormat="0" applyBorder="0" applyAlignment="0" applyProtection="0"/>
    <xf numFmtId="9" fontId="154" fillId="0" borderId="0" applyBorder="0"/>
    <xf numFmtId="184" fontId="156" fillId="0" borderId="0" applyNumberFormat="0" applyBorder="0"/>
    <xf numFmtId="9" fontId="154" fillId="0" borderId="0" applyBorder="0"/>
    <xf numFmtId="9" fontId="154" fillId="0" borderId="0" applyBorder="0"/>
    <xf numFmtId="184" fontId="160" fillId="0" borderId="0" applyNumberFormat="0" applyBorder="0" applyAlignment="0" applyProtection="0"/>
    <xf numFmtId="184" fontId="161" fillId="0" borderId="0" applyNumberFormat="0" applyBorder="0" applyAlignment="0" applyProtection="0"/>
    <xf numFmtId="9" fontId="154" fillId="0" borderId="0" applyFont="0" applyBorder="0"/>
    <xf numFmtId="9" fontId="154" fillId="0" borderId="0" applyFont="0" applyBorder="0"/>
    <xf numFmtId="184" fontId="154" fillId="39" borderId="49" applyNumberFormat="0" applyFont="0" applyProtection="0">
      <alignment horizontal="left"/>
    </xf>
    <xf numFmtId="184" fontId="154" fillId="39" borderId="50" applyNumberFormat="0" applyFont="0" applyAlignment="0" applyProtection="0"/>
    <xf numFmtId="184" fontId="154" fillId="39" borderId="51" applyNumberFormat="0" applyFont="0" applyAlignment="0" applyProtection="0"/>
    <xf numFmtId="184" fontId="154" fillId="39" borderId="52" applyNumberFormat="0" applyFont="0" applyAlignment="0" applyProtection="0"/>
    <xf numFmtId="184" fontId="154" fillId="40" borderId="52" applyNumberFormat="0" applyFont="0" applyProtection="0">
      <alignment horizontal="center" vertical="center"/>
    </xf>
    <xf numFmtId="184" fontId="158" fillId="41" borderId="0" applyNumberFormat="0" applyAlignment="0" applyProtection="0"/>
    <xf numFmtId="184" fontId="157" fillId="42" borderId="0" applyNumberFormat="0" applyBorder="0" applyProtection="0">
      <alignment horizontal="center" wrapText="1"/>
    </xf>
    <xf numFmtId="184" fontId="157" fillId="42" borderId="0" applyNumberFormat="0" applyBorder="0" applyProtection="0">
      <alignment horizontal="center" wrapText="1"/>
    </xf>
    <xf numFmtId="184" fontId="158" fillId="41" borderId="0" applyNumberFormat="0"/>
    <xf numFmtId="184" fontId="154" fillId="41" borderId="49" applyNumberFormat="0">
      <alignment horizontal="left" vertical="center"/>
    </xf>
    <xf numFmtId="184" fontId="154" fillId="41" borderId="50" applyNumberFormat="0">
      <alignment horizontal="center" vertical="center"/>
    </xf>
    <xf numFmtId="184" fontId="154" fillId="41" borderId="51" applyNumberFormat="0">
      <alignment horizontal="center" vertical="center"/>
    </xf>
    <xf numFmtId="184" fontId="154" fillId="41" borderId="49" applyNumberFormat="0" applyFont="0" applyProtection="0">
      <alignment horizontal="left"/>
    </xf>
    <xf numFmtId="184" fontId="154" fillId="41" borderId="50" applyNumberFormat="0" applyFont="0" applyAlignment="0" applyProtection="0"/>
    <xf numFmtId="184" fontId="154" fillId="41" borderId="51" applyNumberFormat="0" applyFont="0" applyAlignment="0" applyProtection="0"/>
    <xf numFmtId="184" fontId="154" fillId="41" borderId="52" applyNumberFormat="0" applyFont="0" applyAlignment="0" applyProtection="0"/>
    <xf numFmtId="184" fontId="154" fillId="39" borderId="49" applyNumberFormat="0" applyFont="0" applyProtection="0">
      <alignment horizontal="left"/>
    </xf>
    <xf numFmtId="184" fontId="154" fillId="39" borderId="50" applyNumberFormat="0" applyFont="0" applyAlignment="0" applyProtection="0"/>
    <xf numFmtId="184" fontId="154" fillId="39" borderId="51" applyNumberFormat="0" applyFont="0" applyAlignment="0" applyProtection="0"/>
    <xf numFmtId="184" fontId="154" fillId="39" borderId="52" applyNumberFormat="0" applyFont="0" applyAlignment="0" applyProtection="0"/>
    <xf numFmtId="184" fontId="154" fillId="40" borderId="52" applyNumberFormat="0" applyFont="0" applyProtection="0">
      <alignment horizontal="center" vertical="center"/>
    </xf>
    <xf numFmtId="184" fontId="159" fillId="39" borderId="52" applyNumberFormat="0" applyProtection="0">
      <alignment horizontal="center" vertical="center"/>
    </xf>
    <xf numFmtId="184" fontId="158" fillId="43" borderId="0" applyNumberFormat="0" applyBorder="0" applyAlignment="0" applyProtection="0"/>
    <xf numFmtId="184" fontId="162" fillId="43" borderId="0" applyNumberFormat="0" applyBorder="0" applyProtection="0">
      <alignment horizontal="center"/>
    </xf>
    <xf numFmtId="184" fontId="158" fillId="41" borderId="0" applyNumberFormat="0" applyAlignment="0" applyProtection="0"/>
    <xf numFmtId="184" fontId="154" fillId="41" borderId="49" applyNumberFormat="0">
      <alignment horizontal="left" vertical="center"/>
    </xf>
    <xf numFmtId="184" fontId="154" fillId="41" borderId="50" applyNumberFormat="0">
      <alignment horizontal="center" vertical="center"/>
    </xf>
    <xf numFmtId="184" fontId="154" fillId="41" borderId="51" applyNumberFormat="0">
      <alignment horizontal="center" vertical="center"/>
    </xf>
    <xf numFmtId="184" fontId="154" fillId="41" borderId="52" applyNumberFormat="0">
      <alignment horizontal="center" vertical="center"/>
    </xf>
    <xf numFmtId="184" fontId="154" fillId="44" borderId="49" applyNumberFormat="0">
      <alignment horizontal="left" vertical="center"/>
    </xf>
    <xf numFmtId="184" fontId="154" fillId="44" borderId="50" applyNumberFormat="0">
      <alignment horizontal="center" vertical="center"/>
    </xf>
    <xf numFmtId="184" fontId="154" fillId="44" borderId="51" applyNumberFormat="0">
      <alignment horizontal="center" vertical="center"/>
    </xf>
    <xf numFmtId="184" fontId="154" fillId="44" borderId="52" applyNumberFormat="0">
      <alignment horizontal="center" vertical="center"/>
    </xf>
    <xf numFmtId="184" fontId="154" fillId="40" borderId="52" applyNumberFormat="0">
      <alignment horizontal="center" vertical="center"/>
    </xf>
    <xf numFmtId="184" fontId="158" fillId="41" borderId="0" applyNumberFormat="0" applyAlignment="0" applyProtection="0"/>
    <xf numFmtId="184" fontId="163" fillId="45" borderId="0" applyNumberFormat="0" applyBorder="0" applyAlignment="0" applyProtection="0"/>
    <xf numFmtId="184" fontId="154" fillId="41" borderId="53" applyNumberFormat="0" applyFont="0" applyProtection="0">
      <alignment horizontal="left" vertical="center"/>
    </xf>
    <xf numFmtId="184" fontId="154" fillId="41" borderId="53" applyNumberFormat="0" applyFont="0" applyProtection="0">
      <alignment horizontal="left" vertical="center"/>
    </xf>
    <xf numFmtId="184" fontId="154" fillId="41" borderId="54" applyNumberFormat="0" applyProtection="0">
      <alignment horizontal="center" vertical="center"/>
    </xf>
    <xf numFmtId="184" fontId="154" fillId="41" borderId="54" applyNumberFormat="0" applyProtection="0">
      <alignment horizontal="center" vertical="center"/>
    </xf>
    <xf numFmtId="184" fontId="154" fillId="41" borderId="55" applyNumberFormat="0" applyProtection="0">
      <alignment horizontal="center" vertical="center"/>
    </xf>
    <xf numFmtId="184" fontId="154" fillId="41" borderId="55" applyNumberFormat="0" applyProtection="0">
      <alignment horizontal="center" vertical="center"/>
    </xf>
    <xf numFmtId="184" fontId="154" fillId="41" borderId="56" applyNumberFormat="0" applyProtection="0">
      <alignment horizontal="center" vertical="center"/>
    </xf>
    <xf numFmtId="184" fontId="154" fillId="41" borderId="56" applyNumberFormat="0" applyProtection="0">
      <alignment horizontal="center" vertical="center"/>
    </xf>
    <xf numFmtId="184" fontId="154" fillId="46" borderId="53" applyNumberFormat="0" applyFont="0" applyProtection="0">
      <alignment horizontal="left" vertical="center"/>
    </xf>
    <xf numFmtId="184" fontId="154" fillId="46" borderId="53" applyNumberFormat="0" applyFont="0" applyProtection="0">
      <alignment horizontal="left" vertical="center"/>
    </xf>
    <xf numFmtId="184" fontId="154" fillId="46" borderId="54" applyNumberFormat="0" applyFont="0" applyProtection="0">
      <alignment horizontal="center" vertical="center"/>
    </xf>
    <xf numFmtId="184" fontId="154" fillId="46" borderId="54" applyNumberFormat="0" applyFont="0" applyProtection="0">
      <alignment horizontal="center" vertical="center"/>
    </xf>
    <xf numFmtId="184" fontId="154" fillId="46" borderId="55" applyNumberFormat="0" applyFont="0" applyProtection="0">
      <alignment horizontal="center" vertical="center"/>
    </xf>
    <xf numFmtId="184" fontId="154" fillId="46" borderId="55" applyNumberFormat="0" applyFont="0" applyProtection="0">
      <alignment horizontal="center" vertical="center"/>
    </xf>
    <xf numFmtId="184" fontId="154" fillId="46" borderId="56" applyNumberFormat="0" applyFont="0" applyProtection="0">
      <alignment horizontal="center" vertical="center"/>
    </xf>
    <xf numFmtId="184" fontId="154" fillId="46" borderId="56" applyNumberFormat="0" applyFont="0" applyProtection="0">
      <alignment horizontal="center" vertical="center"/>
    </xf>
    <xf numFmtId="184" fontId="154" fillId="45" borderId="56" applyNumberFormat="0" applyFont="0" applyProtection="0">
      <alignment horizontal="center" vertical="center"/>
    </xf>
    <xf numFmtId="184" fontId="154" fillId="45" borderId="56" applyNumberFormat="0" applyFont="0" applyProtection="0">
      <alignment horizontal="center" vertical="center"/>
    </xf>
    <xf numFmtId="184" fontId="159" fillId="41" borderId="56" applyNumberFormat="0" applyProtection="0">
      <alignment horizontal="center" vertical="center"/>
    </xf>
    <xf numFmtId="184" fontId="159" fillId="46" borderId="56" applyNumberFormat="0" applyProtection="0">
      <alignment horizontal="center" vertical="center"/>
    </xf>
    <xf numFmtId="184" fontId="157" fillId="42" borderId="0" applyNumberFormat="0" applyBorder="0" applyProtection="0">
      <alignment horizontal="center" wrapText="1"/>
    </xf>
    <xf numFmtId="184" fontId="154" fillId="41" borderId="49" applyNumberFormat="0">
      <alignment horizontal="left" vertical="center"/>
    </xf>
    <xf numFmtId="184" fontId="154" fillId="41" borderId="50" applyNumberFormat="0">
      <alignment horizontal="center" vertical="center"/>
    </xf>
    <xf numFmtId="184" fontId="154" fillId="41" borderId="51" applyNumberFormat="0">
      <alignment horizontal="center" vertical="center"/>
    </xf>
    <xf numFmtId="184" fontId="154" fillId="41" borderId="52" applyNumberFormat="0">
      <alignment horizontal="center" vertical="center"/>
    </xf>
    <xf numFmtId="184" fontId="154" fillId="44" borderId="49" applyNumberFormat="0">
      <alignment horizontal="left" vertical="center"/>
    </xf>
    <xf numFmtId="184" fontId="154" fillId="44" borderId="50" applyNumberFormat="0">
      <alignment horizontal="center" vertical="center"/>
    </xf>
    <xf numFmtId="184" fontId="154" fillId="44" borderId="51" applyNumberFormat="0">
      <alignment horizontal="center" vertical="center"/>
    </xf>
    <xf numFmtId="184" fontId="154" fillId="44" borderId="52" applyNumberFormat="0">
      <alignment horizontal="center" vertical="center"/>
    </xf>
    <xf numFmtId="184" fontId="154" fillId="40" borderId="52" applyNumberFormat="0">
      <alignment horizontal="center" vertical="center"/>
    </xf>
    <xf numFmtId="184" fontId="154" fillId="41" borderId="49" applyNumberFormat="0" applyFont="0" applyProtection="0">
      <alignment horizontal="left" vertical="center"/>
    </xf>
    <xf numFmtId="184" fontId="154" fillId="41" borderId="49" applyNumberFormat="0" applyFont="0" applyProtection="0">
      <alignment horizontal="left" vertical="center"/>
    </xf>
    <xf numFmtId="184" fontId="154" fillId="41" borderId="50" applyNumberFormat="0" applyProtection="0">
      <alignment horizontal="center" vertical="center"/>
    </xf>
    <xf numFmtId="184" fontId="154" fillId="41" borderId="50" applyNumberFormat="0" applyProtection="0">
      <alignment horizontal="center" vertical="center"/>
    </xf>
    <xf numFmtId="184" fontId="154" fillId="41" borderId="51" applyNumberFormat="0" applyProtection="0">
      <alignment horizontal="center" vertical="center"/>
    </xf>
    <xf numFmtId="184" fontId="154" fillId="41" borderId="51" applyNumberFormat="0" applyProtection="0">
      <alignment horizontal="center" vertical="center"/>
    </xf>
    <xf numFmtId="184" fontId="154" fillId="41" borderId="52" applyNumberFormat="0" applyProtection="0">
      <alignment horizontal="center" vertical="center"/>
    </xf>
    <xf numFmtId="184" fontId="154" fillId="41" borderId="52" applyNumberFormat="0" applyProtection="0">
      <alignment horizontal="center" vertical="center"/>
    </xf>
    <xf numFmtId="184" fontId="154" fillId="39" borderId="49" applyNumberFormat="0" applyFont="0" applyProtection="0">
      <alignment horizontal="left" vertical="center"/>
    </xf>
    <xf numFmtId="184" fontId="154" fillId="39" borderId="49" applyNumberFormat="0" applyFont="0" applyProtection="0">
      <alignment horizontal="left" vertical="center"/>
    </xf>
    <xf numFmtId="184" fontId="154" fillId="39" borderId="50" applyNumberFormat="0" applyProtection="0">
      <alignment horizontal="center" vertical="center"/>
    </xf>
    <xf numFmtId="184" fontId="154" fillId="39" borderId="50" applyNumberFormat="0" applyProtection="0">
      <alignment horizontal="center" vertical="center"/>
    </xf>
    <xf numFmtId="184" fontId="154" fillId="39" borderId="51" applyNumberFormat="0" applyProtection="0">
      <alignment horizontal="center" vertical="center"/>
    </xf>
    <xf numFmtId="184" fontId="154" fillId="39" borderId="51" applyNumberFormat="0" applyProtection="0">
      <alignment horizontal="center" vertical="center"/>
    </xf>
    <xf numFmtId="184" fontId="154" fillId="39" borderId="52" applyNumberFormat="0" applyProtection="0">
      <alignment horizontal="center" vertical="center"/>
    </xf>
    <xf numFmtId="184" fontId="154" fillId="39" borderId="52" applyNumberFormat="0" applyProtection="0">
      <alignment horizontal="center" vertical="center"/>
    </xf>
    <xf numFmtId="184" fontId="154" fillId="40" borderId="52" applyNumberFormat="0" applyFont="0" applyProtection="0">
      <alignment horizontal="center" vertical="center"/>
    </xf>
    <xf numFmtId="184" fontId="154" fillId="40" borderId="52" applyNumberFormat="0" applyFont="0" applyProtection="0">
      <alignment horizontal="center" vertical="center"/>
    </xf>
    <xf numFmtId="184" fontId="159" fillId="41" borderId="52" applyNumberFormat="0" applyProtection="0">
      <alignment horizontal="center" vertical="center"/>
    </xf>
    <xf numFmtId="184" fontId="159" fillId="39" borderId="52" applyNumberFormat="0" applyProtection="0">
      <alignment horizontal="center" vertical="center"/>
    </xf>
    <xf numFmtId="184" fontId="157" fillId="42" borderId="0" applyNumberFormat="0" applyBorder="0">
      <alignment horizontal="center" wrapText="1"/>
    </xf>
    <xf numFmtId="184" fontId="158" fillId="41" borderId="0" applyNumberFormat="0"/>
    <xf numFmtId="184" fontId="154" fillId="41" borderId="49" applyNumberFormat="0">
      <alignment horizontal="left" vertical="center"/>
    </xf>
    <xf numFmtId="184" fontId="154" fillId="41" borderId="50" applyNumberFormat="0">
      <alignment horizontal="center" vertical="center"/>
    </xf>
    <xf numFmtId="184" fontId="154" fillId="41" borderId="51" applyNumberFormat="0">
      <alignment horizontal="center" vertical="center"/>
    </xf>
    <xf numFmtId="184" fontId="154" fillId="41" borderId="52" applyNumberFormat="0">
      <alignment horizontal="center" vertical="center"/>
    </xf>
    <xf numFmtId="184" fontId="154" fillId="44" borderId="49" applyNumberFormat="0">
      <alignment horizontal="left" vertical="center"/>
    </xf>
    <xf numFmtId="184" fontId="154" fillId="44" borderId="50" applyNumberFormat="0">
      <alignment horizontal="center" vertical="center"/>
    </xf>
    <xf numFmtId="184" fontId="154" fillId="44" borderId="51" applyNumberFormat="0">
      <alignment horizontal="center" vertical="center"/>
    </xf>
    <xf numFmtId="184" fontId="154" fillId="44" borderId="52" applyNumberFormat="0">
      <alignment horizontal="center" vertical="center"/>
    </xf>
    <xf numFmtId="184" fontId="154" fillId="40" borderId="52" applyNumberFormat="0">
      <alignment horizontal="center" vertical="center"/>
    </xf>
    <xf numFmtId="184" fontId="154" fillId="41" borderId="49" applyNumberFormat="0">
      <alignment horizontal="left" vertical="center"/>
    </xf>
    <xf numFmtId="184" fontId="154" fillId="41" borderId="50" applyNumberFormat="0">
      <alignment horizontal="center" vertical="center"/>
    </xf>
    <xf numFmtId="184" fontId="154" fillId="41" borderId="51" applyNumberFormat="0">
      <alignment horizontal="center" vertical="center"/>
    </xf>
    <xf numFmtId="184" fontId="154" fillId="41" borderId="52" applyNumberFormat="0">
      <alignment horizontal="center" vertical="center"/>
    </xf>
    <xf numFmtId="184" fontId="154" fillId="44" borderId="49" applyNumberFormat="0">
      <alignment horizontal="left" vertical="center"/>
    </xf>
    <xf numFmtId="184" fontId="154" fillId="44" borderId="50" applyNumberFormat="0">
      <alignment horizontal="center" vertical="center"/>
    </xf>
    <xf numFmtId="184" fontId="154" fillId="44" borderId="51" applyNumberFormat="0">
      <alignment horizontal="center" vertical="center"/>
    </xf>
    <xf numFmtId="184" fontId="154" fillId="44" borderId="52" applyNumberFormat="0">
      <alignment horizontal="center" vertical="center"/>
    </xf>
    <xf numFmtId="184" fontId="154" fillId="40" borderId="52" applyNumberFormat="0">
      <alignment horizontal="center" vertical="center"/>
    </xf>
    <xf numFmtId="184" fontId="154" fillId="41" borderId="50" applyNumberFormat="0" applyFont="0"/>
    <xf numFmtId="184" fontId="154" fillId="39" borderId="50" applyNumberFormat="0" applyFont="0"/>
    <xf numFmtId="184" fontId="164" fillId="43" borderId="0" applyNumberFormat="0" applyBorder="0" applyAlignment="0" applyProtection="0"/>
    <xf numFmtId="184" fontId="164" fillId="43" borderId="0" applyNumberFormat="0" applyBorder="0" applyAlignment="0" applyProtection="0"/>
    <xf numFmtId="184" fontId="164" fillId="43" borderId="0" applyNumberFormat="0" applyBorder="0" applyAlignment="0" applyProtection="0"/>
    <xf numFmtId="184" fontId="157" fillId="42" borderId="0" applyNumberFormat="0" applyBorder="0">
      <alignment horizontal="center" wrapText="1"/>
    </xf>
    <xf numFmtId="184" fontId="157" fillId="42" borderId="0" applyNumberFormat="0" applyBorder="0">
      <alignment horizontal="center" wrapText="1"/>
    </xf>
    <xf numFmtId="184" fontId="154" fillId="41" borderId="49" applyNumberFormat="0"/>
    <xf numFmtId="184" fontId="154" fillId="41" borderId="50" applyNumberFormat="0"/>
    <xf numFmtId="184" fontId="154" fillId="41" borderId="51" applyNumberFormat="0"/>
    <xf numFmtId="184" fontId="154" fillId="41" borderId="52" applyNumberFormat="0"/>
    <xf numFmtId="184" fontId="154" fillId="39" borderId="49" applyNumberFormat="0"/>
    <xf numFmtId="184" fontId="154" fillId="39" borderId="50" applyNumberFormat="0"/>
    <xf numFmtId="184" fontId="154" fillId="39" borderId="51" applyNumberFormat="0"/>
    <xf numFmtId="184" fontId="154" fillId="39" borderId="52" applyNumberFormat="0"/>
    <xf numFmtId="184" fontId="154" fillId="41" borderId="49" applyNumberFormat="0"/>
    <xf numFmtId="184" fontId="154" fillId="41" borderId="50" applyNumberFormat="0"/>
    <xf numFmtId="184" fontId="154" fillId="41" borderId="51" applyNumberFormat="0"/>
    <xf numFmtId="184" fontId="154" fillId="41" borderId="52" applyNumberFormat="0"/>
    <xf numFmtId="184" fontId="154" fillId="44" borderId="49" applyNumberFormat="0"/>
    <xf numFmtId="184" fontId="154" fillId="44" borderId="50" applyNumberFormat="0"/>
    <xf numFmtId="184" fontId="154" fillId="44" borderId="51" applyNumberFormat="0"/>
    <xf numFmtId="184" fontId="154" fillId="44" borderId="52" applyNumberFormat="0"/>
    <xf numFmtId="184" fontId="157" fillId="42" borderId="0" applyNumberFormat="0" applyBorder="0">
      <alignment horizontal="center" wrapText="1"/>
    </xf>
    <xf numFmtId="184" fontId="154" fillId="41" borderId="49" applyNumberFormat="0">
      <alignment horizontal="left"/>
    </xf>
    <xf numFmtId="184" fontId="154" fillId="41" borderId="50" applyNumberFormat="0"/>
    <xf numFmtId="184" fontId="154" fillId="41" borderId="51" applyNumberFormat="0"/>
    <xf numFmtId="184" fontId="154" fillId="41" borderId="52" applyNumberFormat="0"/>
    <xf numFmtId="184" fontId="154" fillId="44" borderId="49" applyNumberFormat="0">
      <alignment horizontal="left"/>
    </xf>
    <xf numFmtId="184" fontId="154" fillId="44" borderId="50" applyNumberFormat="0"/>
    <xf numFmtId="184" fontId="154" fillId="44" borderId="51" applyNumberFormat="0"/>
    <xf numFmtId="184" fontId="154" fillId="44" borderId="52" applyNumberFormat="0"/>
    <xf numFmtId="184" fontId="157" fillId="42" borderId="0" applyNumberFormat="0" applyBorder="0" applyProtection="0">
      <alignment horizontal="center" wrapText="1"/>
    </xf>
    <xf numFmtId="184" fontId="157" fillId="42" borderId="0" applyNumberFormat="0" applyBorder="0">
      <alignment horizontal="center" wrapText="1"/>
    </xf>
    <xf numFmtId="184" fontId="154" fillId="41" borderId="49" applyNumberFormat="0" applyFont="0" applyProtection="0">
      <alignment horizontal="left"/>
    </xf>
    <xf numFmtId="184" fontId="154" fillId="41" borderId="50" applyNumberFormat="0" applyFont="0" applyAlignment="0" applyProtection="0"/>
    <xf numFmtId="184" fontId="154" fillId="41" borderId="51" applyNumberFormat="0" applyFont="0" applyAlignment="0" applyProtection="0"/>
    <xf numFmtId="184" fontId="154" fillId="41" borderId="52" applyNumberFormat="0" applyFont="0" applyAlignment="0" applyProtection="0"/>
    <xf numFmtId="184" fontId="154" fillId="39" borderId="49" applyNumberFormat="0" applyFont="0" applyProtection="0">
      <alignment horizontal="left"/>
    </xf>
    <xf numFmtId="184" fontId="154" fillId="39" borderId="50" applyNumberFormat="0" applyFont="0" applyAlignment="0" applyProtection="0"/>
    <xf numFmtId="184" fontId="154" fillId="39" borderId="51" applyNumberFormat="0" applyFont="0" applyAlignment="0" applyProtection="0"/>
    <xf numFmtId="184" fontId="154" fillId="39" borderId="52" applyNumberFormat="0" applyFont="0" applyAlignment="0" applyProtection="0"/>
    <xf numFmtId="184" fontId="154" fillId="40" borderId="52" applyNumberFormat="0" applyFont="0" applyProtection="0">
      <alignment horizontal="center" vertical="center"/>
    </xf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8" fillId="41" borderId="0" applyNumberFormat="0" applyAlignment="0" applyProtection="0"/>
    <xf numFmtId="184" fontId="157" fillId="42" borderId="0" applyNumberFormat="0" applyBorder="0" applyProtection="0">
      <alignment horizontal="center" wrapText="1"/>
    </xf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8" fillId="41" borderId="0" applyNumberFormat="0"/>
    <xf numFmtId="184" fontId="154" fillId="41" borderId="49" applyNumberFormat="0">
      <alignment horizontal="left" vertical="center"/>
    </xf>
    <xf numFmtId="184" fontId="154" fillId="41" borderId="50" applyNumberFormat="0">
      <alignment horizontal="center" vertical="center"/>
    </xf>
    <xf numFmtId="184" fontId="154" fillId="41" borderId="51" applyNumberFormat="0">
      <alignment horizontal="center" vertical="center"/>
    </xf>
    <xf numFmtId="184" fontId="154" fillId="41" borderId="52" applyNumberFormat="0">
      <alignment horizontal="center" vertical="center"/>
    </xf>
    <xf numFmtId="184" fontId="154" fillId="44" borderId="49" applyNumberFormat="0">
      <alignment horizontal="left" vertical="center"/>
    </xf>
    <xf numFmtId="184" fontId="154" fillId="44" borderId="50" applyNumberFormat="0">
      <alignment horizontal="center" vertical="center"/>
    </xf>
    <xf numFmtId="184" fontId="154" fillId="44" borderId="51" applyNumberFormat="0">
      <alignment horizontal="center" vertical="center"/>
    </xf>
    <xf numFmtId="184" fontId="154" fillId="44" borderId="52" applyNumberFormat="0">
      <alignment horizontal="center" vertical="center"/>
    </xf>
    <xf numFmtId="184" fontId="154" fillId="40" borderId="52" applyNumberFormat="0">
      <alignment horizontal="center" vertical="center"/>
    </xf>
    <xf numFmtId="184" fontId="157" fillId="42" borderId="0" applyNumberFormat="0" applyBorder="0">
      <alignment horizontal="center" wrapText="1"/>
    </xf>
    <xf numFmtId="184" fontId="154" fillId="41" borderId="49" applyNumberFormat="0" applyFont="0" applyProtection="0">
      <alignment horizontal="left"/>
    </xf>
    <xf numFmtId="184" fontId="154" fillId="41" borderId="50" applyNumberFormat="0" applyFont="0" applyAlignment="0" applyProtection="0"/>
    <xf numFmtId="184" fontId="154" fillId="41" borderId="51" applyNumberFormat="0" applyFont="0" applyAlignment="0" applyProtection="0"/>
    <xf numFmtId="184" fontId="154" fillId="41" borderId="52" applyNumberFormat="0" applyFont="0" applyAlignment="0" applyProtection="0"/>
    <xf numFmtId="184" fontId="1" fillId="0" borderId="0"/>
    <xf numFmtId="184" fontId="1" fillId="0" borderId="0"/>
    <xf numFmtId="184" fontId="1" fillId="0" borderId="0"/>
    <xf numFmtId="184" fontId="165" fillId="0" borderId="0"/>
    <xf numFmtId="184" fontId="1" fillId="0" borderId="0"/>
    <xf numFmtId="184" fontId="1" fillId="0" borderId="0"/>
    <xf numFmtId="184" fontId="28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84" fontId="28" fillId="0" borderId="0"/>
    <xf numFmtId="184" fontId="28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1" fillId="0" borderId="0"/>
    <xf numFmtId="184" fontId="1" fillId="0" borderId="0"/>
    <xf numFmtId="184" fontId="165" fillId="0" borderId="0"/>
    <xf numFmtId="170" fontId="165" fillId="0" borderId="0" applyBorder="0"/>
    <xf numFmtId="168" fontId="165" fillId="0" borderId="0" applyBorder="0"/>
    <xf numFmtId="169" fontId="165" fillId="0" borderId="0" applyBorder="0"/>
    <xf numFmtId="167" fontId="165" fillId="0" borderId="0" applyBorder="0"/>
    <xf numFmtId="184" fontId="166" fillId="0" borderId="0" applyNumberFormat="0" applyBorder="0"/>
    <xf numFmtId="184" fontId="167" fillId="0" borderId="0" applyNumberFormat="0" applyBorder="0"/>
    <xf numFmtId="9" fontId="165" fillId="0" borderId="0" applyBorder="0"/>
    <xf numFmtId="184" fontId="166" fillId="0" borderId="0" applyNumberFormat="0" applyBorder="0"/>
    <xf numFmtId="184" fontId="167" fillId="0" borderId="0" applyNumberFormat="0" applyBorder="0"/>
    <xf numFmtId="9" fontId="165" fillId="0" borderId="0" applyBorder="0"/>
    <xf numFmtId="184" fontId="166" fillId="0" borderId="0" applyNumberFormat="0" applyBorder="0"/>
    <xf numFmtId="184" fontId="167" fillId="0" borderId="0" applyNumberFormat="0" applyBorder="0"/>
    <xf numFmtId="9" fontId="165" fillId="0" borderId="0" applyBorder="0"/>
    <xf numFmtId="184" fontId="166" fillId="0" borderId="0" applyNumberFormat="0" applyBorder="0"/>
    <xf numFmtId="184" fontId="167" fillId="0" borderId="0" applyNumberFormat="0" applyBorder="0"/>
    <xf numFmtId="9" fontId="165" fillId="0" borderId="0" applyBorder="0"/>
    <xf numFmtId="184" fontId="166" fillId="0" borderId="0" applyNumberFormat="0" applyBorder="0"/>
    <xf numFmtId="184" fontId="166" fillId="0" borderId="0" applyNumberFormat="0" applyBorder="0" applyAlignment="0" applyProtection="0"/>
    <xf numFmtId="184" fontId="167" fillId="0" borderId="0" applyNumberFormat="0" applyBorder="0" applyAlignment="0" applyProtection="0"/>
    <xf numFmtId="9" fontId="165" fillId="0" borderId="0" applyBorder="0"/>
    <xf numFmtId="184" fontId="167" fillId="0" borderId="0" applyNumberFormat="0" applyBorder="0"/>
    <xf numFmtId="9" fontId="165" fillId="0" borderId="0" applyBorder="0"/>
    <xf numFmtId="9" fontId="165" fillId="0" borderId="0" applyBorder="0"/>
    <xf numFmtId="184" fontId="171" fillId="0" borderId="0" applyNumberFormat="0" applyBorder="0" applyAlignment="0" applyProtection="0"/>
    <xf numFmtId="184" fontId="172" fillId="0" borderId="0" applyNumberFormat="0" applyBorder="0" applyAlignment="0" applyProtection="0"/>
    <xf numFmtId="9" fontId="165" fillId="0" borderId="0" applyFont="0" applyBorder="0"/>
    <xf numFmtId="9" fontId="165" fillId="0" borderId="0" applyFont="0" applyBorder="0"/>
    <xf numFmtId="184" fontId="165" fillId="39" borderId="49" applyNumberFormat="0" applyFont="0" applyProtection="0">
      <alignment horizontal="left"/>
    </xf>
    <xf numFmtId="184" fontId="165" fillId="39" borderId="50" applyNumberFormat="0" applyFont="0" applyAlignment="0" applyProtection="0"/>
    <xf numFmtId="184" fontId="165" fillId="39" borderId="51" applyNumberFormat="0" applyFont="0" applyAlignment="0" applyProtection="0"/>
    <xf numFmtId="184" fontId="165" fillId="39" borderId="52" applyNumberFormat="0" applyFont="0" applyAlignment="0" applyProtection="0"/>
    <xf numFmtId="184" fontId="165" fillId="40" borderId="52" applyNumberFormat="0" applyFont="0" applyProtection="0">
      <alignment horizontal="center" vertical="center"/>
    </xf>
    <xf numFmtId="184" fontId="169" fillId="41" borderId="0" applyNumberFormat="0" applyAlignment="0" applyProtection="0"/>
    <xf numFmtId="184" fontId="168" fillId="42" borderId="0" applyNumberFormat="0" applyBorder="0" applyProtection="0">
      <alignment horizontal="center" wrapText="1"/>
    </xf>
    <xf numFmtId="184" fontId="168" fillId="42" borderId="0" applyNumberFormat="0" applyBorder="0" applyProtection="0">
      <alignment horizontal="center" wrapText="1"/>
    </xf>
    <xf numFmtId="184" fontId="169" fillId="41" borderId="0" applyNumberFormat="0"/>
    <xf numFmtId="184" fontId="165" fillId="41" borderId="49" applyNumberFormat="0">
      <alignment horizontal="left" vertical="center"/>
    </xf>
    <xf numFmtId="184" fontId="165" fillId="41" borderId="50" applyNumberFormat="0">
      <alignment horizontal="center" vertical="center"/>
    </xf>
    <xf numFmtId="184" fontId="165" fillId="41" borderId="51" applyNumberFormat="0">
      <alignment horizontal="center" vertical="center"/>
    </xf>
    <xf numFmtId="184" fontId="165" fillId="41" borderId="49" applyNumberFormat="0" applyFont="0" applyProtection="0">
      <alignment horizontal="left"/>
    </xf>
    <xf numFmtId="184" fontId="165" fillId="41" borderId="50" applyNumberFormat="0" applyFont="0" applyAlignment="0" applyProtection="0"/>
    <xf numFmtId="184" fontId="165" fillId="41" borderId="51" applyNumberFormat="0" applyFont="0" applyAlignment="0" applyProtection="0"/>
    <xf numFmtId="184" fontId="165" fillId="41" borderId="52" applyNumberFormat="0" applyFont="0" applyAlignment="0" applyProtection="0"/>
    <xf numFmtId="184" fontId="165" fillId="39" borderId="49" applyNumberFormat="0" applyFont="0" applyProtection="0">
      <alignment horizontal="left"/>
    </xf>
    <xf numFmtId="184" fontId="165" fillId="39" borderId="50" applyNumberFormat="0" applyFont="0" applyAlignment="0" applyProtection="0"/>
    <xf numFmtId="184" fontId="165" fillId="39" borderId="51" applyNumberFormat="0" applyFont="0" applyAlignment="0" applyProtection="0"/>
    <xf numFmtId="184" fontId="165" fillId="39" borderId="52" applyNumberFormat="0" applyFont="0" applyAlignment="0" applyProtection="0"/>
    <xf numFmtId="184" fontId="165" fillId="40" borderId="52" applyNumberFormat="0" applyFont="0" applyProtection="0">
      <alignment horizontal="center" vertical="center"/>
    </xf>
    <xf numFmtId="184" fontId="170" fillId="39" borderId="52" applyNumberFormat="0" applyProtection="0">
      <alignment horizontal="center" vertical="center"/>
    </xf>
    <xf numFmtId="184" fontId="169" fillId="43" borderId="0" applyNumberFormat="0" applyBorder="0" applyAlignment="0" applyProtection="0"/>
    <xf numFmtId="184" fontId="173" fillId="43" borderId="0" applyNumberFormat="0" applyBorder="0" applyProtection="0">
      <alignment horizontal="center"/>
    </xf>
    <xf numFmtId="184" fontId="169" fillId="41" borderId="0" applyNumberFormat="0" applyAlignment="0" applyProtection="0"/>
    <xf numFmtId="184" fontId="165" fillId="41" borderId="49" applyNumberFormat="0">
      <alignment horizontal="left" vertical="center"/>
    </xf>
    <xf numFmtId="184" fontId="165" fillId="41" borderId="50" applyNumberFormat="0">
      <alignment horizontal="center" vertical="center"/>
    </xf>
    <xf numFmtId="184" fontId="165" fillId="41" borderId="51" applyNumberFormat="0">
      <alignment horizontal="center" vertical="center"/>
    </xf>
    <xf numFmtId="184" fontId="165" fillId="41" borderId="52" applyNumberFormat="0">
      <alignment horizontal="center" vertical="center"/>
    </xf>
    <xf numFmtId="184" fontId="165" fillId="44" borderId="49" applyNumberFormat="0">
      <alignment horizontal="left" vertical="center"/>
    </xf>
    <xf numFmtId="184" fontId="165" fillId="44" borderId="50" applyNumberFormat="0">
      <alignment horizontal="center" vertical="center"/>
    </xf>
    <xf numFmtId="184" fontId="165" fillId="44" borderId="51" applyNumberFormat="0">
      <alignment horizontal="center" vertical="center"/>
    </xf>
    <xf numFmtId="184" fontId="165" fillId="44" borderId="52" applyNumberFormat="0">
      <alignment horizontal="center" vertical="center"/>
    </xf>
    <xf numFmtId="184" fontId="165" fillId="40" borderId="52" applyNumberFormat="0">
      <alignment horizontal="center" vertical="center"/>
    </xf>
    <xf numFmtId="184" fontId="169" fillId="41" borderId="0" applyNumberFormat="0" applyAlignment="0" applyProtection="0"/>
    <xf numFmtId="184" fontId="174" fillId="45" borderId="0" applyNumberFormat="0" applyBorder="0" applyAlignment="0" applyProtection="0"/>
    <xf numFmtId="184" fontId="165" fillId="41" borderId="53" applyNumberFormat="0" applyFont="0" applyProtection="0">
      <alignment horizontal="left" vertical="center"/>
    </xf>
    <xf numFmtId="184" fontId="165" fillId="41" borderId="53" applyNumberFormat="0" applyFont="0" applyProtection="0">
      <alignment horizontal="left" vertical="center"/>
    </xf>
    <xf numFmtId="184" fontId="165" fillId="41" borderId="54" applyNumberFormat="0" applyProtection="0">
      <alignment horizontal="center" vertical="center"/>
    </xf>
    <xf numFmtId="184" fontId="165" fillId="41" borderId="54" applyNumberFormat="0" applyProtection="0">
      <alignment horizontal="center" vertical="center"/>
    </xf>
    <xf numFmtId="184" fontId="165" fillId="41" borderId="55" applyNumberFormat="0" applyProtection="0">
      <alignment horizontal="center" vertical="center"/>
    </xf>
    <xf numFmtId="184" fontId="165" fillId="41" borderId="55" applyNumberFormat="0" applyProtection="0">
      <alignment horizontal="center" vertical="center"/>
    </xf>
    <xf numFmtId="184" fontId="165" fillId="41" borderId="56" applyNumberFormat="0" applyProtection="0">
      <alignment horizontal="center" vertical="center"/>
    </xf>
    <xf numFmtId="184" fontId="165" fillId="41" borderId="56" applyNumberFormat="0" applyProtection="0">
      <alignment horizontal="center" vertical="center"/>
    </xf>
    <xf numFmtId="184" fontId="165" fillId="46" borderId="53" applyNumberFormat="0" applyFont="0" applyProtection="0">
      <alignment horizontal="left" vertical="center"/>
    </xf>
    <xf numFmtId="184" fontId="165" fillId="46" borderId="53" applyNumberFormat="0" applyFont="0" applyProtection="0">
      <alignment horizontal="left" vertical="center"/>
    </xf>
    <xf numFmtId="184" fontId="165" fillId="46" borderId="54" applyNumberFormat="0" applyFont="0" applyProtection="0">
      <alignment horizontal="center" vertical="center"/>
    </xf>
    <xf numFmtId="184" fontId="165" fillId="46" borderId="54" applyNumberFormat="0" applyFont="0" applyProtection="0">
      <alignment horizontal="center" vertical="center"/>
    </xf>
    <xf numFmtId="184" fontId="165" fillId="46" borderId="55" applyNumberFormat="0" applyFont="0" applyProtection="0">
      <alignment horizontal="center" vertical="center"/>
    </xf>
    <xf numFmtId="184" fontId="165" fillId="46" borderId="55" applyNumberFormat="0" applyFont="0" applyProtection="0">
      <alignment horizontal="center" vertical="center"/>
    </xf>
    <xf numFmtId="184" fontId="165" fillId="46" borderId="56" applyNumberFormat="0" applyFont="0" applyProtection="0">
      <alignment horizontal="center" vertical="center"/>
    </xf>
    <xf numFmtId="184" fontId="165" fillId="46" borderId="56" applyNumberFormat="0" applyFont="0" applyProtection="0">
      <alignment horizontal="center" vertical="center"/>
    </xf>
    <xf numFmtId="184" fontId="165" fillId="45" borderId="56" applyNumberFormat="0" applyFont="0" applyProtection="0">
      <alignment horizontal="center" vertical="center"/>
    </xf>
    <xf numFmtId="184" fontId="165" fillId="45" borderId="56" applyNumberFormat="0" applyFont="0" applyProtection="0">
      <alignment horizontal="center" vertical="center"/>
    </xf>
    <xf numFmtId="184" fontId="170" fillId="41" borderId="56" applyNumberFormat="0" applyProtection="0">
      <alignment horizontal="center" vertical="center"/>
    </xf>
    <xf numFmtId="184" fontId="170" fillId="46" borderId="56" applyNumberFormat="0" applyProtection="0">
      <alignment horizontal="center" vertical="center"/>
    </xf>
    <xf numFmtId="184" fontId="168" fillId="42" borderId="0" applyNumberFormat="0" applyBorder="0" applyProtection="0">
      <alignment horizontal="center" wrapText="1"/>
    </xf>
    <xf numFmtId="184" fontId="165" fillId="41" borderId="49" applyNumberFormat="0">
      <alignment horizontal="left" vertical="center"/>
    </xf>
    <xf numFmtId="184" fontId="165" fillId="41" borderId="50" applyNumberFormat="0">
      <alignment horizontal="center" vertical="center"/>
    </xf>
    <xf numFmtId="184" fontId="165" fillId="41" borderId="51" applyNumberFormat="0">
      <alignment horizontal="center" vertical="center"/>
    </xf>
    <xf numFmtId="184" fontId="165" fillId="41" borderId="52" applyNumberFormat="0">
      <alignment horizontal="center" vertical="center"/>
    </xf>
    <xf numFmtId="184" fontId="165" fillId="44" borderId="49" applyNumberFormat="0">
      <alignment horizontal="left" vertical="center"/>
    </xf>
    <xf numFmtId="184" fontId="165" fillId="44" borderId="50" applyNumberFormat="0">
      <alignment horizontal="center" vertical="center"/>
    </xf>
    <xf numFmtId="184" fontId="165" fillId="44" borderId="51" applyNumberFormat="0">
      <alignment horizontal="center" vertical="center"/>
    </xf>
    <xf numFmtId="184" fontId="165" fillId="44" borderId="52" applyNumberFormat="0">
      <alignment horizontal="center" vertical="center"/>
    </xf>
    <xf numFmtId="184" fontId="165" fillId="40" borderId="52" applyNumberFormat="0">
      <alignment horizontal="center" vertical="center"/>
    </xf>
    <xf numFmtId="184" fontId="165" fillId="41" borderId="49" applyNumberFormat="0" applyFont="0" applyProtection="0">
      <alignment horizontal="left" vertical="center"/>
    </xf>
    <xf numFmtId="184" fontId="165" fillId="41" borderId="49" applyNumberFormat="0" applyFont="0" applyProtection="0">
      <alignment horizontal="left" vertical="center"/>
    </xf>
    <xf numFmtId="184" fontId="165" fillId="41" borderId="50" applyNumberFormat="0" applyProtection="0">
      <alignment horizontal="center" vertical="center"/>
    </xf>
    <xf numFmtId="184" fontId="165" fillId="41" borderId="50" applyNumberFormat="0" applyProtection="0">
      <alignment horizontal="center" vertical="center"/>
    </xf>
    <xf numFmtId="184" fontId="165" fillId="41" borderId="51" applyNumberFormat="0" applyProtection="0">
      <alignment horizontal="center" vertical="center"/>
    </xf>
    <xf numFmtId="184" fontId="165" fillId="41" borderId="51" applyNumberFormat="0" applyProtection="0">
      <alignment horizontal="center" vertical="center"/>
    </xf>
    <xf numFmtId="184" fontId="165" fillId="41" borderId="52" applyNumberFormat="0" applyProtection="0">
      <alignment horizontal="center" vertical="center"/>
    </xf>
    <xf numFmtId="184" fontId="165" fillId="41" borderId="52" applyNumberFormat="0" applyProtection="0">
      <alignment horizontal="center" vertical="center"/>
    </xf>
    <xf numFmtId="184" fontId="165" fillId="39" borderId="49" applyNumberFormat="0" applyFont="0" applyProtection="0">
      <alignment horizontal="left" vertical="center"/>
    </xf>
    <xf numFmtId="184" fontId="165" fillId="39" borderId="49" applyNumberFormat="0" applyFont="0" applyProtection="0">
      <alignment horizontal="left" vertical="center"/>
    </xf>
    <xf numFmtId="184" fontId="165" fillId="39" borderId="50" applyNumberFormat="0" applyProtection="0">
      <alignment horizontal="center" vertical="center"/>
    </xf>
    <xf numFmtId="184" fontId="165" fillId="39" borderId="50" applyNumberFormat="0" applyProtection="0">
      <alignment horizontal="center" vertical="center"/>
    </xf>
    <xf numFmtId="184" fontId="165" fillId="39" borderId="51" applyNumberFormat="0" applyProtection="0">
      <alignment horizontal="center" vertical="center"/>
    </xf>
    <xf numFmtId="184" fontId="165" fillId="39" borderId="51" applyNumberFormat="0" applyProtection="0">
      <alignment horizontal="center" vertical="center"/>
    </xf>
    <xf numFmtId="184" fontId="165" fillId="39" borderId="52" applyNumberFormat="0" applyProtection="0">
      <alignment horizontal="center" vertical="center"/>
    </xf>
    <xf numFmtId="184" fontId="165" fillId="39" borderId="52" applyNumberFormat="0" applyProtection="0">
      <alignment horizontal="center" vertical="center"/>
    </xf>
    <xf numFmtId="184" fontId="165" fillId="40" borderId="52" applyNumberFormat="0" applyFont="0" applyProtection="0">
      <alignment horizontal="center" vertical="center"/>
    </xf>
    <xf numFmtId="184" fontId="165" fillId="40" borderId="52" applyNumberFormat="0" applyFont="0" applyProtection="0">
      <alignment horizontal="center" vertical="center"/>
    </xf>
    <xf numFmtId="184" fontId="170" fillId="41" borderId="52" applyNumberFormat="0" applyProtection="0">
      <alignment horizontal="center" vertical="center"/>
    </xf>
    <xf numFmtId="184" fontId="170" fillId="39" borderId="52" applyNumberFormat="0" applyProtection="0">
      <alignment horizontal="center" vertical="center"/>
    </xf>
    <xf numFmtId="184" fontId="168" fillId="42" borderId="0" applyNumberFormat="0" applyBorder="0">
      <alignment horizontal="center" wrapText="1"/>
    </xf>
    <xf numFmtId="184" fontId="169" fillId="41" borderId="0" applyNumberFormat="0"/>
    <xf numFmtId="184" fontId="165" fillId="41" borderId="49" applyNumberFormat="0">
      <alignment horizontal="left" vertical="center"/>
    </xf>
    <xf numFmtId="184" fontId="165" fillId="41" borderId="50" applyNumberFormat="0">
      <alignment horizontal="center" vertical="center"/>
    </xf>
    <xf numFmtId="184" fontId="165" fillId="41" borderId="51" applyNumberFormat="0">
      <alignment horizontal="center" vertical="center"/>
    </xf>
    <xf numFmtId="184" fontId="165" fillId="41" borderId="52" applyNumberFormat="0">
      <alignment horizontal="center" vertical="center"/>
    </xf>
    <xf numFmtId="184" fontId="165" fillId="44" borderId="49" applyNumberFormat="0">
      <alignment horizontal="left" vertical="center"/>
    </xf>
    <xf numFmtId="184" fontId="165" fillId="44" borderId="50" applyNumberFormat="0">
      <alignment horizontal="center" vertical="center"/>
    </xf>
    <xf numFmtId="184" fontId="165" fillId="44" borderId="51" applyNumberFormat="0">
      <alignment horizontal="center" vertical="center"/>
    </xf>
    <xf numFmtId="184" fontId="165" fillId="44" borderId="52" applyNumberFormat="0">
      <alignment horizontal="center" vertical="center"/>
    </xf>
    <xf numFmtId="184" fontId="165" fillId="40" borderId="52" applyNumberFormat="0">
      <alignment horizontal="center" vertical="center"/>
    </xf>
    <xf numFmtId="184" fontId="165" fillId="41" borderId="49" applyNumberFormat="0">
      <alignment horizontal="left" vertical="center"/>
    </xf>
    <xf numFmtId="184" fontId="165" fillId="41" borderId="50" applyNumberFormat="0">
      <alignment horizontal="center" vertical="center"/>
    </xf>
    <xf numFmtId="184" fontId="165" fillId="41" borderId="51" applyNumberFormat="0">
      <alignment horizontal="center" vertical="center"/>
    </xf>
    <xf numFmtId="184" fontId="165" fillId="41" borderId="52" applyNumberFormat="0">
      <alignment horizontal="center" vertical="center"/>
    </xf>
    <xf numFmtId="184" fontId="165" fillId="44" borderId="49" applyNumberFormat="0">
      <alignment horizontal="left" vertical="center"/>
    </xf>
    <xf numFmtId="184" fontId="165" fillId="44" borderId="50" applyNumberFormat="0">
      <alignment horizontal="center" vertical="center"/>
    </xf>
    <xf numFmtId="184" fontId="165" fillId="44" borderId="51" applyNumberFormat="0">
      <alignment horizontal="center" vertical="center"/>
    </xf>
    <xf numFmtId="184" fontId="165" fillId="44" borderId="52" applyNumberFormat="0">
      <alignment horizontal="center" vertical="center"/>
    </xf>
    <xf numFmtId="184" fontId="165" fillId="40" borderId="52" applyNumberFormat="0">
      <alignment horizontal="center" vertical="center"/>
    </xf>
    <xf numFmtId="184" fontId="165" fillId="41" borderId="50" applyNumberFormat="0" applyFont="0"/>
    <xf numFmtId="184" fontId="165" fillId="39" borderId="50" applyNumberFormat="0" applyFont="0"/>
    <xf numFmtId="184" fontId="175" fillId="43" borderId="0" applyNumberFormat="0" applyBorder="0" applyAlignment="0" applyProtection="0"/>
    <xf numFmtId="184" fontId="175" fillId="43" borderId="0" applyNumberFormat="0" applyBorder="0" applyAlignment="0" applyProtection="0"/>
    <xf numFmtId="184" fontId="175" fillId="43" borderId="0" applyNumberFormat="0" applyBorder="0" applyAlignment="0" applyProtection="0"/>
    <xf numFmtId="184" fontId="168" fillId="42" borderId="0" applyNumberFormat="0" applyBorder="0">
      <alignment horizontal="center" wrapText="1"/>
    </xf>
    <xf numFmtId="184" fontId="168" fillId="42" borderId="0" applyNumberFormat="0" applyBorder="0">
      <alignment horizontal="center" wrapText="1"/>
    </xf>
    <xf numFmtId="184" fontId="165" fillId="41" borderId="49" applyNumberFormat="0"/>
    <xf numFmtId="184" fontId="165" fillId="41" borderId="50" applyNumberFormat="0"/>
    <xf numFmtId="184" fontId="165" fillId="41" borderId="51" applyNumberFormat="0"/>
    <xf numFmtId="184" fontId="165" fillId="41" borderId="52" applyNumberFormat="0"/>
    <xf numFmtId="184" fontId="165" fillId="39" borderId="49" applyNumberFormat="0"/>
    <xf numFmtId="184" fontId="165" fillId="39" borderId="50" applyNumberFormat="0"/>
    <xf numFmtId="184" fontId="165" fillId="39" borderId="51" applyNumberFormat="0"/>
    <xf numFmtId="184" fontId="165" fillId="39" borderId="52" applyNumberFormat="0"/>
    <xf numFmtId="184" fontId="165" fillId="41" borderId="49" applyNumberFormat="0"/>
    <xf numFmtId="184" fontId="165" fillId="41" borderId="50" applyNumberFormat="0"/>
    <xf numFmtId="184" fontId="165" fillId="41" borderId="51" applyNumberFormat="0"/>
    <xf numFmtId="184" fontId="165" fillId="41" borderId="52" applyNumberFormat="0"/>
    <xf numFmtId="184" fontId="165" fillId="44" borderId="49" applyNumberFormat="0"/>
    <xf numFmtId="184" fontId="165" fillId="44" borderId="50" applyNumberFormat="0"/>
    <xf numFmtId="184" fontId="165" fillId="44" borderId="51" applyNumberFormat="0"/>
    <xf numFmtId="184" fontId="165" fillId="44" borderId="52" applyNumberFormat="0"/>
    <xf numFmtId="184" fontId="168" fillId="42" borderId="0" applyNumberFormat="0" applyBorder="0">
      <alignment horizontal="center" wrapText="1"/>
    </xf>
    <xf numFmtId="184" fontId="165" fillId="41" borderId="49" applyNumberFormat="0">
      <alignment horizontal="left"/>
    </xf>
    <xf numFmtId="184" fontId="165" fillId="41" borderId="50" applyNumberFormat="0"/>
    <xf numFmtId="184" fontId="165" fillId="41" borderId="51" applyNumberFormat="0"/>
    <xf numFmtId="184" fontId="165" fillId="41" borderId="52" applyNumberFormat="0"/>
    <xf numFmtId="184" fontId="165" fillId="44" borderId="49" applyNumberFormat="0">
      <alignment horizontal="left"/>
    </xf>
    <xf numFmtId="184" fontId="165" fillId="44" borderId="50" applyNumberFormat="0"/>
    <xf numFmtId="184" fontId="165" fillId="44" borderId="51" applyNumberFormat="0"/>
    <xf numFmtId="184" fontId="165" fillId="44" borderId="52" applyNumberFormat="0"/>
    <xf numFmtId="184" fontId="168" fillId="42" borderId="0" applyNumberFormat="0" applyBorder="0" applyProtection="0">
      <alignment horizontal="center" wrapText="1"/>
    </xf>
    <xf numFmtId="184" fontId="168" fillId="42" borderId="0" applyNumberFormat="0" applyBorder="0">
      <alignment horizontal="center" wrapText="1"/>
    </xf>
    <xf numFmtId="184" fontId="165" fillId="41" borderId="49" applyNumberFormat="0" applyFont="0" applyProtection="0">
      <alignment horizontal="left"/>
    </xf>
    <xf numFmtId="184" fontId="165" fillId="41" borderId="50" applyNumberFormat="0" applyFont="0" applyAlignment="0" applyProtection="0"/>
    <xf numFmtId="184" fontId="165" fillId="41" borderId="51" applyNumberFormat="0" applyFont="0" applyAlignment="0" applyProtection="0"/>
    <xf numFmtId="184" fontId="165" fillId="41" borderId="52" applyNumberFormat="0" applyFont="0" applyAlignment="0" applyProtection="0"/>
    <xf numFmtId="184" fontId="165" fillId="39" borderId="49" applyNumberFormat="0" applyFont="0" applyProtection="0">
      <alignment horizontal="left"/>
    </xf>
    <xf numFmtId="184" fontId="165" fillId="39" borderId="50" applyNumberFormat="0" applyFont="0" applyAlignment="0" applyProtection="0"/>
    <xf numFmtId="184" fontId="165" fillId="39" borderId="51" applyNumberFormat="0" applyFont="0" applyAlignment="0" applyProtection="0"/>
    <xf numFmtId="184" fontId="165" fillId="39" borderId="52" applyNumberFormat="0" applyFont="0" applyAlignment="0" applyProtection="0"/>
    <xf numFmtId="184" fontId="165" fillId="40" borderId="52" applyNumberFormat="0" applyFont="0" applyProtection="0">
      <alignment horizontal="center" vertical="center"/>
    </xf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9" fillId="41" borderId="0" applyNumberFormat="0" applyAlignment="0" applyProtection="0"/>
    <xf numFmtId="184" fontId="168" fillId="42" borderId="0" applyNumberFormat="0" applyBorder="0" applyProtection="0">
      <alignment horizontal="center" wrapText="1"/>
    </xf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9" fillId="41" borderId="0" applyNumberFormat="0"/>
    <xf numFmtId="184" fontId="165" fillId="41" borderId="49" applyNumberFormat="0">
      <alignment horizontal="left" vertical="center"/>
    </xf>
    <xf numFmtId="184" fontId="165" fillId="41" borderId="50" applyNumberFormat="0">
      <alignment horizontal="center" vertical="center"/>
    </xf>
    <xf numFmtId="184" fontId="165" fillId="41" borderId="51" applyNumberFormat="0">
      <alignment horizontal="center" vertical="center"/>
    </xf>
    <xf numFmtId="184" fontId="165" fillId="41" borderId="52" applyNumberFormat="0">
      <alignment horizontal="center" vertical="center"/>
    </xf>
    <xf numFmtId="184" fontId="165" fillId="44" borderId="49" applyNumberFormat="0">
      <alignment horizontal="left" vertical="center"/>
    </xf>
    <xf numFmtId="184" fontId="165" fillId="44" borderId="50" applyNumberFormat="0">
      <alignment horizontal="center" vertical="center"/>
    </xf>
    <xf numFmtId="184" fontId="165" fillId="44" borderId="51" applyNumberFormat="0">
      <alignment horizontal="center" vertical="center"/>
    </xf>
    <xf numFmtId="184" fontId="165" fillId="44" borderId="52" applyNumberFormat="0">
      <alignment horizontal="center" vertical="center"/>
    </xf>
    <xf numFmtId="184" fontId="165" fillId="40" borderId="52" applyNumberFormat="0">
      <alignment horizontal="center" vertical="center"/>
    </xf>
    <xf numFmtId="184" fontId="168" fillId="42" borderId="0" applyNumberFormat="0" applyBorder="0">
      <alignment horizontal="center" wrapText="1"/>
    </xf>
    <xf numFmtId="184" fontId="165" fillId="41" borderId="49" applyNumberFormat="0" applyFont="0" applyProtection="0">
      <alignment horizontal="left"/>
    </xf>
    <xf numFmtId="184" fontId="165" fillId="41" borderId="50" applyNumberFormat="0" applyFont="0" applyAlignment="0" applyProtection="0"/>
    <xf numFmtId="184" fontId="165" fillId="41" borderId="51" applyNumberFormat="0" applyFont="0" applyAlignment="0" applyProtection="0"/>
    <xf numFmtId="184" fontId="165" fillId="41" borderId="52" applyNumberFormat="0" applyFont="0" applyAlignment="0" applyProtection="0"/>
    <xf numFmtId="184" fontId="1" fillId="0" borderId="0"/>
    <xf numFmtId="184" fontId="176" fillId="0" borderId="0"/>
    <xf numFmtId="184" fontId="187" fillId="46" borderId="0" applyNumberFormat="0" applyBorder="0"/>
    <xf numFmtId="184" fontId="187" fillId="40" borderId="0" applyNumberFormat="0" applyBorder="0"/>
    <xf numFmtId="184" fontId="187" fillId="40" borderId="0" applyNumberFormat="0" applyBorder="0"/>
    <xf numFmtId="184" fontId="187" fillId="46" borderId="0" applyNumberFormat="0" applyBorder="0"/>
    <xf numFmtId="184" fontId="187" fillId="48" borderId="0" applyNumberFormat="0" applyBorder="0"/>
    <xf numFmtId="184" fontId="187" fillId="49" borderId="0" applyNumberFormat="0" applyBorder="0"/>
    <xf numFmtId="184" fontId="187" fillId="46" borderId="0" applyNumberFormat="0" applyBorder="0"/>
    <xf numFmtId="184" fontId="187" fillId="40" borderId="0" applyNumberFormat="0" applyBorder="0"/>
    <xf numFmtId="184" fontId="187" fillId="40" borderId="0" applyNumberFormat="0" applyBorder="0"/>
    <xf numFmtId="184" fontId="187" fillId="46" borderId="0" applyNumberFormat="0" applyBorder="0"/>
    <xf numFmtId="184" fontId="187" fillId="50" borderId="0" applyNumberFormat="0" applyBorder="0"/>
    <xf numFmtId="184" fontId="187" fillId="49" borderId="0" applyNumberFormat="0" applyBorder="0"/>
    <xf numFmtId="184" fontId="188" fillId="51" borderId="0" applyNumberFormat="0" applyBorder="0"/>
    <xf numFmtId="184" fontId="188" fillId="40" borderId="0" applyNumberFormat="0" applyBorder="0"/>
    <xf numFmtId="184" fontId="188" fillId="40" borderId="0" applyNumberFormat="0" applyBorder="0"/>
    <xf numFmtId="184" fontId="188" fillId="45" borderId="0" applyNumberFormat="0" applyBorder="0"/>
    <xf numFmtId="184" fontId="188" fillId="51" borderId="0" applyNumberFormat="0" applyBorder="0"/>
    <xf numFmtId="184" fontId="188" fillId="49" borderId="0" applyNumberFormat="0" applyBorder="0"/>
    <xf numFmtId="184" fontId="188" fillId="51" borderId="0" applyNumberFormat="0" applyBorder="0"/>
    <xf numFmtId="184" fontId="188" fillId="43" borderId="0" applyNumberFormat="0" applyBorder="0"/>
    <xf numFmtId="184" fontId="188" fillId="52" borderId="0" applyNumberFormat="0" applyBorder="0"/>
    <xf numFmtId="184" fontId="188" fillId="53" borderId="0" applyNumberFormat="0" applyBorder="0"/>
    <xf numFmtId="184" fontId="188" fillId="51" borderId="0" applyNumberFormat="0" applyBorder="0"/>
    <xf numFmtId="184" fontId="188" fillId="54" borderId="0" applyNumberFormat="0" applyBorder="0"/>
    <xf numFmtId="184" fontId="189" fillId="55" borderId="0" applyNumberFormat="0" applyBorder="0"/>
    <xf numFmtId="184" fontId="190" fillId="46" borderId="61" applyNumberFormat="0"/>
    <xf numFmtId="184" fontId="180" fillId="45" borderId="62" applyNumberFormat="0"/>
    <xf numFmtId="176" fontId="176" fillId="0" borderId="0" applyBorder="0"/>
    <xf numFmtId="174" fontId="176" fillId="0" borderId="0" applyBorder="0"/>
    <xf numFmtId="175" fontId="176" fillId="0" borderId="0" applyBorder="0"/>
    <xf numFmtId="173" fontId="176" fillId="0" borderId="0" applyBorder="0"/>
    <xf numFmtId="184" fontId="191" fillId="0" borderId="0" applyNumberFormat="0" applyBorder="0"/>
    <xf numFmtId="184" fontId="176" fillId="0" borderId="0"/>
    <xf numFmtId="176" fontId="176" fillId="0" borderId="0" applyBorder="0"/>
    <xf numFmtId="174" fontId="176" fillId="0" borderId="0" applyBorder="0"/>
    <xf numFmtId="175" fontId="176" fillId="0" borderId="0" applyBorder="0"/>
    <xf numFmtId="173" fontId="176" fillId="0" borderId="0" applyBorder="0"/>
    <xf numFmtId="184" fontId="182" fillId="0" borderId="0" applyNumberFormat="0" applyBorder="0"/>
    <xf numFmtId="184" fontId="183" fillId="0" borderId="0" applyNumberFormat="0" applyBorder="0"/>
    <xf numFmtId="9" fontId="176" fillId="0" borderId="0" applyBorder="0"/>
    <xf numFmtId="184" fontId="182" fillId="0" borderId="0" applyNumberFormat="0" applyBorder="0"/>
    <xf numFmtId="184" fontId="183" fillId="0" borderId="0" applyNumberFormat="0" applyBorder="0"/>
    <xf numFmtId="9" fontId="176" fillId="0" borderId="0" applyBorder="0"/>
    <xf numFmtId="184" fontId="182" fillId="0" borderId="0" applyNumberFormat="0" applyBorder="0"/>
    <xf numFmtId="184" fontId="183" fillId="0" borderId="0" applyNumberFormat="0" applyBorder="0"/>
    <xf numFmtId="9" fontId="176" fillId="0" borderId="0" applyBorder="0"/>
    <xf numFmtId="184" fontId="182" fillId="0" borderId="0" applyNumberFormat="0" applyBorder="0"/>
    <xf numFmtId="184" fontId="183" fillId="0" borderId="0" applyNumberFormat="0" applyBorder="0"/>
    <xf numFmtId="9" fontId="176" fillId="0" borderId="0" applyBorder="0"/>
    <xf numFmtId="184" fontId="182" fillId="0" borderId="0" applyNumberFormat="0" applyBorder="0"/>
    <xf numFmtId="184" fontId="183" fillId="0" borderId="0" applyNumberFormat="0" applyBorder="0"/>
    <xf numFmtId="9" fontId="176" fillId="0" borderId="0" applyBorder="0"/>
    <xf numFmtId="184" fontId="177" fillId="0" borderId="0" applyNumberFormat="0" applyBorder="0"/>
    <xf numFmtId="184" fontId="192" fillId="56" borderId="0" applyNumberFormat="0" applyBorder="0"/>
    <xf numFmtId="184" fontId="193" fillId="0" borderId="63" applyNumberFormat="0"/>
    <xf numFmtId="184" fontId="194" fillId="0" borderId="63" applyNumberFormat="0"/>
    <xf numFmtId="184" fontId="195" fillId="0" borderId="64" applyNumberFormat="0"/>
    <xf numFmtId="184" fontId="195" fillId="0" borderId="0" applyNumberFormat="0" applyBorder="0"/>
    <xf numFmtId="184" fontId="178" fillId="0" borderId="0" applyNumberFormat="0" applyBorder="0"/>
    <xf numFmtId="184" fontId="196" fillId="49" borderId="61" applyNumberFormat="0"/>
    <xf numFmtId="184" fontId="197" fillId="0" borderId="65" applyNumberFormat="0"/>
    <xf numFmtId="184" fontId="198" fillId="57" borderId="0" applyNumberFormat="0" applyBorder="0"/>
    <xf numFmtId="184" fontId="176" fillId="57" borderId="53" applyNumberFormat="0"/>
    <xf numFmtId="184" fontId="199" fillId="46" borderId="66" applyNumberFormat="0"/>
    <xf numFmtId="9" fontId="176" fillId="0" borderId="0" applyBorder="0"/>
    <xf numFmtId="184" fontId="179" fillId="42" borderId="0" applyNumberFormat="0" applyBorder="0">
      <alignment horizontal="center" wrapText="1"/>
    </xf>
    <xf numFmtId="184" fontId="181" fillId="41" borderId="0" applyNumberFormat="0"/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85" fillId="41" borderId="52" applyNumberFormat="0">
      <alignment horizontal="center" vertical="center"/>
    </xf>
    <xf numFmtId="184" fontId="185" fillId="44" borderId="52" applyNumberFormat="0">
      <alignment horizontal="center" vertical="center"/>
    </xf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79" fillId="42" borderId="0" applyNumberFormat="0" applyBorder="0">
      <alignment horizontal="center" wrapText="1"/>
    </xf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85" fillId="41" borderId="52" applyNumberFormat="0">
      <alignment horizontal="center" vertical="center"/>
    </xf>
    <xf numFmtId="184" fontId="185" fillId="44" borderId="52" applyNumberFormat="0">
      <alignment horizontal="center" vertical="center"/>
    </xf>
    <xf numFmtId="184" fontId="179" fillId="42" borderId="0" applyNumberFormat="0" applyBorder="0">
      <alignment horizontal="center" wrapText="1"/>
    </xf>
    <xf numFmtId="184" fontId="181" fillId="41" borderId="0" applyNumberFormat="0"/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76" fillId="41" borderId="50" applyNumberFormat="0"/>
    <xf numFmtId="184" fontId="176" fillId="46" borderId="50" applyNumberFormat="0"/>
    <xf numFmtId="184" fontId="179" fillId="42" borderId="0" applyNumberFormat="0" applyBorder="0">
      <alignment horizontal="center" wrapText="1"/>
    </xf>
    <xf numFmtId="184" fontId="179" fillId="42" borderId="0" applyNumberFormat="0" applyBorder="0">
      <alignment horizontal="center" wrapText="1"/>
    </xf>
    <xf numFmtId="184" fontId="176" fillId="41" borderId="49" applyNumberFormat="0"/>
    <xf numFmtId="184" fontId="176" fillId="41" borderId="50" applyNumberFormat="0"/>
    <xf numFmtId="184" fontId="176" fillId="41" borderId="51" applyNumberFormat="0"/>
    <xf numFmtId="184" fontId="176" fillId="41" borderId="52" applyNumberFormat="0"/>
    <xf numFmtId="184" fontId="176" fillId="46" borderId="49" applyNumberFormat="0"/>
    <xf numFmtId="184" fontId="176" fillId="46" borderId="50" applyNumberFormat="0"/>
    <xf numFmtId="184" fontId="176" fillId="46" borderId="51" applyNumberFormat="0"/>
    <xf numFmtId="184" fontId="176" fillId="46" borderId="52" applyNumberFormat="0"/>
    <xf numFmtId="184" fontId="176" fillId="41" borderId="49" applyNumberFormat="0"/>
    <xf numFmtId="184" fontId="176" fillId="41" borderId="50" applyNumberFormat="0"/>
    <xf numFmtId="184" fontId="176" fillId="41" borderId="51" applyNumberFormat="0"/>
    <xf numFmtId="184" fontId="176" fillId="41" borderId="52" applyNumberFormat="0"/>
    <xf numFmtId="184" fontId="176" fillId="44" borderId="49" applyNumberFormat="0"/>
    <xf numFmtId="184" fontId="176" fillId="44" borderId="50" applyNumberFormat="0"/>
    <xf numFmtId="184" fontId="176" fillId="44" borderId="51" applyNumberFormat="0"/>
    <xf numFmtId="184" fontId="176" fillId="44" borderId="52" applyNumberFormat="0"/>
    <xf numFmtId="184" fontId="179" fillId="42" borderId="0" applyNumberFormat="0" applyBorder="0">
      <alignment horizontal="center" wrapText="1"/>
    </xf>
    <xf numFmtId="184" fontId="176" fillId="41" borderId="49" applyNumberFormat="0">
      <alignment horizontal="left"/>
    </xf>
    <xf numFmtId="184" fontId="176" fillId="41" borderId="50" applyNumberFormat="0"/>
    <xf numFmtId="184" fontId="176" fillId="41" borderId="51" applyNumberFormat="0"/>
    <xf numFmtId="184" fontId="176" fillId="41" borderId="52" applyNumberFormat="0"/>
    <xf numFmtId="184" fontId="176" fillId="44" borderId="49" applyNumberFormat="0">
      <alignment horizontal="left"/>
    </xf>
    <xf numFmtId="184" fontId="176" fillId="44" borderId="50" applyNumberFormat="0"/>
    <xf numFmtId="184" fontId="176" fillId="44" borderId="51" applyNumberFormat="0"/>
    <xf numFmtId="184" fontId="176" fillId="44" borderId="52" applyNumberFormat="0"/>
    <xf numFmtId="184" fontId="179" fillId="42" borderId="0" applyNumberFormat="0" applyBorder="0">
      <alignment horizontal="center" wrapText="1"/>
    </xf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81" fillId="41" borderId="0" applyNumberFormat="0"/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79" fillId="42" borderId="0" applyNumberFormat="0" applyBorder="0">
      <alignment horizontal="center" wrapText="1"/>
    </xf>
    <xf numFmtId="184" fontId="200" fillId="0" borderId="0" applyNumberFormat="0" applyBorder="0"/>
    <xf numFmtId="184" fontId="201" fillId="0" borderId="67" applyNumberFormat="0"/>
    <xf numFmtId="184" fontId="202" fillId="0" borderId="0" applyNumberFormat="0" applyBorder="0"/>
    <xf numFmtId="184" fontId="181" fillId="43" borderId="0" applyNumberFormat="0" applyBorder="0" applyAlignment="0" applyProtection="0"/>
    <xf numFmtId="184" fontId="188" fillId="43" borderId="0" applyNumberFormat="0" applyBorder="0" applyProtection="0">
      <alignment horizontal="center"/>
    </xf>
    <xf numFmtId="184" fontId="184" fillId="43" borderId="0" applyNumberFormat="0" applyBorder="0" applyAlignment="0" applyProtection="0"/>
    <xf numFmtId="184" fontId="186" fillId="45" borderId="0" applyNumberFormat="0" applyBorder="0" applyAlignment="0" applyProtection="0"/>
    <xf numFmtId="184" fontId="176" fillId="41" borderId="53" applyNumberFormat="0" applyFont="0" applyProtection="0">
      <alignment horizontal="left" vertical="center"/>
    </xf>
    <xf numFmtId="184" fontId="176" fillId="41" borderId="54" applyNumberFormat="0" applyProtection="0">
      <alignment horizontal="center" vertical="center"/>
    </xf>
    <xf numFmtId="184" fontId="176" fillId="41" borderId="55" applyNumberFormat="0" applyProtection="0">
      <alignment horizontal="center" vertical="center"/>
    </xf>
    <xf numFmtId="184" fontId="176" fillId="41" borderId="56" applyNumberFormat="0" applyProtection="0">
      <alignment horizontal="center" vertical="center"/>
    </xf>
    <xf numFmtId="184" fontId="176" fillId="46" borderId="53" applyNumberFormat="0" applyFont="0" applyProtection="0">
      <alignment horizontal="left" vertical="center"/>
    </xf>
    <xf numFmtId="184" fontId="176" fillId="46" borderId="54" applyNumberFormat="0" applyProtection="0">
      <alignment horizontal="center" vertical="center"/>
    </xf>
    <xf numFmtId="184" fontId="176" fillId="46" borderId="55" applyNumberFormat="0" applyProtection="0">
      <alignment horizontal="center" vertical="center"/>
    </xf>
    <xf numFmtId="184" fontId="176" fillId="46" borderId="56" applyNumberFormat="0" applyProtection="0">
      <alignment horizontal="center" vertical="center"/>
    </xf>
    <xf numFmtId="184" fontId="176" fillId="45" borderId="56" applyNumberFormat="0" applyFont="0" applyProtection="0">
      <alignment horizontal="center" vertical="center"/>
    </xf>
    <xf numFmtId="184" fontId="185" fillId="41" borderId="56" applyNumberFormat="0" applyProtection="0">
      <alignment horizontal="center" vertical="center"/>
    </xf>
    <xf numFmtId="184" fontId="185" fillId="46" borderId="56" applyNumberFormat="0" applyProtection="0">
      <alignment horizontal="center" vertical="center"/>
    </xf>
    <xf numFmtId="184" fontId="181" fillId="41" borderId="0" applyNumberFormat="0" applyAlignment="0" applyProtection="0"/>
    <xf numFmtId="184" fontId="186" fillId="45" borderId="0" applyNumberFormat="0" applyBorder="0" applyAlignment="0" applyProtection="0"/>
    <xf numFmtId="184" fontId="186" fillId="45" borderId="0" applyNumberFormat="0" applyBorder="0" applyAlignment="0" applyProtection="0"/>
    <xf numFmtId="184" fontId="186" fillId="45" borderId="0" applyNumberFormat="0" applyBorder="0" applyAlignment="0" applyProtection="0"/>
    <xf numFmtId="184" fontId="186" fillId="45" borderId="0" applyNumberFormat="0" applyBorder="0" applyAlignment="0" applyProtection="0"/>
    <xf numFmtId="170" fontId="176" fillId="0" borderId="0" applyBorder="0"/>
    <xf numFmtId="168" fontId="176" fillId="0" borderId="0" applyBorder="0"/>
    <xf numFmtId="169" fontId="176" fillId="0" borderId="0" applyBorder="0"/>
    <xf numFmtId="167" fontId="176" fillId="0" borderId="0" applyBorder="0"/>
    <xf numFmtId="184" fontId="177" fillId="0" borderId="0" applyNumberFormat="0" applyBorder="0"/>
    <xf numFmtId="184" fontId="178" fillId="0" borderId="0" applyNumberFormat="0" applyBorder="0"/>
    <xf numFmtId="184" fontId="177" fillId="0" borderId="0" applyNumberFormat="0" applyBorder="0"/>
    <xf numFmtId="184" fontId="178" fillId="0" borderId="0" applyNumberFormat="0" applyBorder="0"/>
    <xf numFmtId="184" fontId="177" fillId="0" borderId="0" applyNumberFormat="0" applyBorder="0"/>
    <xf numFmtId="184" fontId="178" fillId="0" borderId="0" applyNumberFormat="0" applyBorder="0"/>
    <xf numFmtId="184" fontId="177" fillId="0" borderId="0" applyNumberFormat="0" applyBorder="0"/>
    <xf numFmtId="184" fontId="178" fillId="0" borderId="0" applyNumberFormat="0" applyBorder="0"/>
    <xf numFmtId="184" fontId="177" fillId="0" borderId="0" applyNumberFormat="0" applyBorder="0"/>
    <xf numFmtId="184" fontId="177" fillId="0" borderId="0" applyNumberFormat="0" applyBorder="0" applyAlignment="0" applyProtection="0"/>
    <xf numFmtId="184" fontId="178" fillId="0" borderId="0" applyNumberFormat="0" applyBorder="0" applyAlignment="0" applyProtection="0"/>
    <xf numFmtId="9" fontId="176" fillId="0" borderId="0" applyBorder="0"/>
    <xf numFmtId="184" fontId="178" fillId="0" borderId="0" applyNumberFormat="0" applyBorder="0"/>
    <xf numFmtId="9" fontId="176" fillId="0" borderId="0" applyBorder="0"/>
    <xf numFmtId="9" fontId="176" fillId="0" borderId="0" applyBorder="0"/>
    <xf numFmtId="184" fontId="203" fillId="0" borderId="0" applyNumberFormat="0" applyBorder="0" applyAlignment="0" applyProtection="0"/>
    <xf numFmtId="184" fontId="204" fillId="0" borderId="0" applyNumberFormat="0" applyBorder="0" applyAlignment="0" applyProtection="0"/>
    <xf numFmtId="9" fontId="176" fillId="0" borderId="0" applyFont="0" applyBorder="0"/>
    <xf numFmtId="9" fontId="176" fillId="0" borderId="0" applyFont="0" applyBorder="0"/>
    <xf numFmtId="184" fontId="176" fillId="39" borderId="49" applyNumberFormat="0" applyFont="0" applyProtection="0">
      <alignment horizontal="left"/>
    </xf>
    <xf numFmtId="184" fontId="176" fillId="39" borderId="50" applyNumberFormat="0" applyFont="0" applyAlignment="0" applyProtection="0"/>
    <xf numFmtId="184" fontId="176" fillId="39" borderId="51" applyNumberFormat="0" applyFont="0" applyAlignment="0" applyProtection="0"/>
    <xf numFmtId="184" fontId="176" fillId="39" borderId="52" applyNumberFormat="0" applyFont="0" applyAlignment="0" applyProtection="0"/>
    <xf numFmtId="184" fontId="176" fillId="40" borderId="52" applyNumberFormat="0" applyFont="0" applyProtection="0">
      <alignment horizontal="center" vertical="center"/>
    </xf>
    <xf numFmtId="184" fontId="181" fillId="41" borderId="0" applyNumberFormat="0" applyAlignment="0" applyProtection="0"/>
    <xf numFmtId="184" fontId="179" fillId="42" borderId="0" applyNumberFormat="0" applyBorder="0" applyProtection="0">
      <alignment horizontal="center" wrapText="1"/>
    </xf>
    <xf numFmtId="184" fontId="179" fillId="42" borderId="0" applyNumberFormat="0" applyBorder="0" applyProtection="0">
      <alignment horizontal="center" wrapText="1"/>
    </xf>
    <xf numFmtId="184" fontId="176" fillId="41" borderId="49" applyNumberFormat="0" applyFont="0" applyProtection="0">
      <alignment horizontal="left"/>
    </xf>
    <xf numFmtId="184" fontId="176" fillId="41" borderId="50" applyNumberFormat="0" applyFont="0" applyAlignment="0" applyProtection="0"/>
    <xf numFmtId="184" fontId="176" fillId="41" borderId="51" applyNumberFormat="0" applyFont="0" applyAlignment="0" applyProtection="0"/>
    <xf numFmtId="184" fontId="176" fillId="41" borderId="52" applyNumberFormat="0" applyFont="0" applyAlignment="0" applyProtection="0"/>
    <xf numFmtId="184" fontId="176" fillId="39" borderId="49" applyNumberFormat="0" applyFont="0" applyProtection="0">
      <alignment horizontal="left"/>
    </xf>
    <xf numFmtId="184" fontId="176" fillId="39" borderId="50" applyNumberFormat="0" applyFont="0" applyAlignment="0" applyProtection="0"/>
    <xf numFmtId="184" fontId="176" fillId="39" borderId="51" applyNumberFormat="0" applyFont="0" applyAlignment="0" applyProtection="0"/>
    <xf numFmtId="184" fontId="176" fillId="39" borderId="52" applyNumberFormat="0" applyFont="0" applyAlignment="0" applyProtection="0"/>
    <xf numFmtId="184" fontId="176" fillId="40" borderId="52" applyNumberFormat="0" applyFont="0" applyProtection="0">
      <alignment horizontal="center" vertical="center"/>
    </xf>
    <xf numFmtId="184" fontId="185" fillId="39" borderId="52" applyNumberFormat="0" applyProtection="0">
      <alignment horizontal="center" vertical="center"/>
    </xf>
    <xf numFmtId="184" fontId="181" fillId="43" borderId="0" applyNumberFormat="0" applyBorder="0" applyAlignment="0" applyProtection="0"/>
    <xf numFmtId="184" fontId="188" fillId="43" borderId="0" applyNumberFormat="0" applyBorder="0" applyProtection="0">
      <alignment horizontal="center"/>
    </xf>
    <xf numFmtId="184" fontId="181" fillId="41" borderId="0" applyNumberFormat="0" applyAlignment="0" applyProtection="0"/>
    <xf numFmtId="184" fontId="181" fillId="41" borderId="0" applyNumberFormat="0" applyAlignment="0" applyProtection="0"/>
    <xf numFmtId="184" fontId="186" fillId="45" borderId="0" applyNumberFormat="0" applyBorder="0" applyAlignment="0" applyProtection="0"/>
    <xf numFmtId="184" fontId="176" fillId="41" borderId="53" applyNumberFormat="0" applyFont="0" applyProtection="0">
      <alignment horizontal="left" vertical="center"/>
    </xf>
    <xf numFmtId="184" fontId="176" fillId="41" borderId="53" applyNumberFormat="0" applyFont="0" applyProtection="0">
      <alignment horizontal="left" vertical="center"/>
    </xf>
    <xf numFmtId="184" fontId="176" fillId="41" borderId="54" applyNumberFormat="0" applyProtection="0">
      <alignment horizontal="center" vertical="center"/>
    </xf>
    <xf numFmtId="184" fontId="176" fillId="41" borderId="54" applyNumberFormat="0" applyProtection="0">
      <alignment horizontal="center" vertical="center"/>
    </xf>
    <xf numFmtId="184" fontId="176" fillId="41" borderId="55" applyNumberFormat="0" applyProtection="0">
      <alignment horizontal="center" vertical="center"/>
    </xf>
    <xf numFmtId="184" fontId="176" fillId="41" borderId="55" applyNumberFormat="0" applyProtection="0">
      <alignment horizontal="center" vertical="center"/>
    </xf>
    <xf numFmtId="184" fontId="176" fillId="41" borderId="56" applyNumberFormat="0" applyProtection="0">
      <alignment horizontal="center" vertical="center"/>
    </xf>
    <xf numFmtId="184" fontId="176" fillId="41" borderId="56" applyNumberFormat="0" applyProtection="0">
      <alignment horizontal="center" vertical="center"/>
    </xf>
    <xf numFmtId="184" fontId="176" fillId="46" borderId="53" applyNumberFormat="0" applyFont="0" applyProtection="0">
      <alignment horizontal="left" vertical="center"/>
    </xf>
    <xf numFmtId="184" fontId="176" fillId="46" borderId="53" applyNumberFormat="0" applyFont="0" applyProtection="0">
      <alignment horizontal="left" vertical="center"/>
    </xf>
    <xf numFmtId="184" fontId="176" fillId="46" borderId="54" applyNumberFormat="0" applyFont="0" applyProtection="0">
      <alignment horizontal="center" vertical="center"/>
    </xf>
    <xf numFmtId="184" fontId="176" fillId="46" borderId="54" applyNumberFormat="0" applyFont="0" applyProtection="0">
      <alignment horizontal="center" vertical="center"/>
    </xf>
    <xf numFmtId="184" fontId="176" fillId="46" borderId="55" applyNumberFormat="0" applyFont="0" applyProtection="0">
      <alignment horizontal="center" vertical="center"/>
    </xf>
    <xf numFmtId="184" fontId="176" fillId="46" borderId="55" applyNumberFormat="0" applyFont="0" applyProtection="0">
      <alignment horizontal="center" vertical="center"/>
    </xf>
    <xf numFmtId="184" fontId="176" fillId="46" borderId="56" applyNumberFormat="0" applyFont="0" applyProtection="0">
      <alignment horizontal="center" vertical="center"/>
    </xf>
    <xf numFmtId="184" fontId="176" fillId="46" borderId="56" applyNumberFormat="0" applyFont="0" applyProtection="0">
      <alignment horizontal="center" vertical="center"/>
    </xf>
    <xf numFmtId="184" fontId="176" fillId="45" borderId="56" applyNumberFormat="0" applyFont="0" applyProtection="0">
      <alignment horizontal="center" vertical="center"/>
    </xf>
    <xf numFmtId="184" fontId="176" fillId="45" borderId="56" applyNumberFormat="0" applyFont="0" applyProtection="0">
      <alignment horizontal="center" vertical="center"/>
    </xf>
    <xf numFmtId="184" fontId="185" fillId="41" borderId="56" applyNumberFormat="0" applyProtection="0">
      <alignment horizontal="center" vertical="center"/>
    </xf>
    <xf numFmtId="184" fontId="185" fillId="46" borderId="56" applyNumberFormat="0" applyProtection="0">
      <alignment horizontal="center" vertical="center"/>
    </xf>
    <xf numFmtId="184" fontId="179" fillId="42" borderId="0" applyNumberFormat="0" applyBorder="0" applyProtection="0">
      <alignment horizontal="center" wrapText="1"/>
    </xf>
    <xf numFmtId="184" fontId="176" fillId="41" borderId="49" applyNumberFormat="0" applyFont="0" applyProtection="0">
      <alignment horizontal="left" vertical="center"/>
    </xf>
    <xf numFmtId="184" fontId="176" fillId="41" borderId="49" applyNumberFormat="0" applyFont="0" applyProtection="0">
      <alignment horizontal="left" vertical="center"/>
    </xf>
    <xf numFmtId="184" fontId="176" fillId="41" borderId="50" applyNumberFormat="0" applyProtection="0">
      <alignment horizontal="center" vertical="center"/>
    </xf>
    <xf numFmtId="184" fontId="176" fillId="41" borderId="50" applyNumberFormat="0" applyProtection="0">
      <alignment horizontal="center" vertical="center"/>
    </xf>
    <xf numFmtId="184" fontId="176" fillId="41" borderId="51" applyNumberFormat="0" applyProtection="0">
      <alignment horizontal="center" vertical="center"/>
    </xf>
    <xf numFmtId="184" fontId="176" fillId="41" borderId="51" applyNumberFormat="0" applyProtection="0">
      <alignment horizontal="center" vertical="center"/>
    </xf>
    <xf numFmtId="184" fontId="176" fillId="41" borderId="52" applyNumberFormat="0" applyProtection="0">
      <alignment horizontal="center" vertical="center"/>
    </xf>
    <xf numFmtId="184" fontId="176" fillId="41" borderId="52" applyNumberFormat="0" applyProtection="0">
      <alignment horizontal="center" vertical="center"/>
    </xf>
    <xf numFmtId="184" fontId="176" fillId="39" borderId="49" applyNumberFormat="0" applyFont="0" applyProtection="0">
      <alignment horizontal="left" vertical="center"/>
    </xf>
    <xf numFmtId="184" fontId="176" fillId="39" borderId="49" applyNumberFormat="0" applyFont="0" applyProtection="0">
      <alignment horizontal="left" vertical="center"/>
    </xf>
    <xf numFmtId="184" fontId="176" fillId="39" borderId="50" applyNumberFormat="0" applyProtection="0">
      <alignment horizontal="center" vertical="center"/>
    </xf>
    <xf numFmtId="184" fontId="176" fillId="39" borderId="50" applyNumberFormat="0" applyProtection="0">
      <alignment horizontal="center" vertical="center"/>
    </xf>
    <xf numFmtId="184" fontId="176" fillId="39" borderId="51" applyNumberFormat="0" applyProtection="0">
      <alignment horizontal="center" vertical="center"/>
    </xf>
    <xf numFmtId="184" fontId="176" fillId="39" borderId="51" applyNumberFormat="0" applyProtection="0">
      <alignment horizontal="center" vertical="center"/>
    </xf>
    <xf numFmtId="184" fontId="176" fillId="39" borderId="52" applyNumberFormat="0" applyProtection="0">
      <alignment horizontal="center" vertical="center"/>
    </xf>
    <xf numFmtId="184" fontId="176" fillId="39" borderId="52" applyNumberFormat="0" applyProtection="0">
      <alignment horizontal="center" vertical="center"/>
    </xf>
    <xf numFmtId="184" fontId="176" fillId="40" borderId="52" applyNumberFormat="0" applyFont="0" applyProtection="0">
      <alignment horizontal="center" vertical="center"/>
    </xf>
    <xf numFmtId="184" fontId="176" fillId="40" borderId="52" applyNumberFormat="0" applyFont="0" applyProtection="0">
      <alignment horizontal="center" vertical="center"/>
    </xf>
    <xf numFmtId="184" fontId="185" fillId="41" borderId="52" applyNumberFormat="0" applyProtection="0">
      <alignment horizontal="center" vertical="center"/>
    </xf>
    <xf numFmtId="184" fontId="185" fillId="39" borderId="52" applyNumberFormat="0" applyProtection="0">
      <alignment horizontal="center" vertical="center"/>
    </xf>
    <xf numFmtId="184" fontId="176" fillId="41" borderId="50" applyNumberFormat="0" applyFont="0"/>
    <xf numFmtId="184" fontId="176" fillId="39" borderId="50" applyNumberFormat="0" applyFont="0"/>
    <xf numFmtId="184" fontId="205" fillId="43" borderId="0" applyNumberFormat="0" applyBorder="0" applyAlignment="0" applyProtection="0"/>
    <xf numFmtId="184" fontId="205" fillId="43" borderId="0" applyNumberFormat="0" applyBorder="0" applyAlignment="0" applyProtection="0"/>
    <xf numFmtId="184" fontId="205" fillId="43" borderId="0" applyNumberFormat="0" applyBorder="0" applyAlignment="0" applyProtection="0"/>
    <xf numFmtId="184" fontId="176" fillId="39" borderId="49" applyNumberFormat="0"/>
    <xf numFmtId="184" fontId="176" fillId="39" borderId="50" applyNumberFormat="0"/>
    <xf numFmtId="184" fontId="176" fillId="39" borderId="51" applyNumberFormat="0"/>
    <xf numFmtId="184" fontId="176" fillId="39" borderId="52" applyNumberFormat="0"/>
    <xf numFmtId="184" fontId="179" fillId="42" borderId="0" applyNumberFormat="0" applyBorder="0" applyProtection="0">
      <alignment horizontal="center" wrapText="1"/>
    </xf>
    <xf numFmtId="184" fontId="176" fillId="41" borderId="49" applyNumberFormat="0" applyFont="0" applyProtection="0">
      <alignment horizontal="left"/>
    </xf>
    <xf numFmtId="184" fontId="176" fillId="41" borderId="50" applyNumberFormat="0" applyFont="0" applyAlignment="0" applyProtection="0"/>
    <xf numFmtId="184" fontId="176" fillId="41" borderId="51" applyNumberFormat="0" applyFont="0" applyAlignment="0" applyProtection="0"/>
    <xf numFmtId="184" fontId="176" fillId="41" borderId="52" applyNumberFormat="0" applyFont="0" applyAlignment="0" applyProtection="0"/>
    <xf numFmtId="184" fontId="176" fillId="39" borderId="49" applyNumberFormat="0" applyFont="0" applyProtection="0">
      <alignment horizontal="left"/>
    </xf>
    <xf numFmtId="184" fontId="176" fillId="39" borderId="50" applyNumberFormat="0" applyFont="0" applyAlignment="0" applyProtection="0"/>
    <xf numFmtId="184" fontId="176" fillId="39" borderId="51" applyNumberFormat="0" applyFont="0" applyAlignment="0" applyProtection="0"/>
    <xf numFmtId="184" fontId="176" fillId="39" borderId="52" applyNumberFormat="0" applyFont="0" applyAlignment="0" applyProtection="0"/>
    <xf numFmtId="184" fontId="176" fillId="40" borderId="52" applyNumberFormat="0" applyFont="0" applyProtection="0">
      <alignment horizontal="center" vertical="center"/>
    </xf>
    <xf numFmtId="184" fontId="181" fillId="41" borderId="0" applyNumberFormat="0" applyAlignment="0" applyProtection="0"/>
    <xf numFmtId="184" fontId="179" fillId="42" borderId="0" applyNumberFormat="0" applyBorder="0" applyProtection="0">
      <alignment horizontal="center" wrapText="1"/>
    </xf>
    <xf numFmtId="184" fontId="176" fillId="41" borderId="49" applyNumberFormat="0" applyFont="0" applyProtection="0">
      <alignment horizontal="left"/>
    </xf>
    <xf numFmtId="184" fontId="176" fillId="41" borderId="50" applyNumberFormat="0" applyFont="0" applyAlignment="0" applyProtection="0"/>
    <xf numFmtId="184" fontId="176" fillId="41" borderId="51" applyNumberFormat="0" applyFont="0" applyAlignment="0" applyProtection="0"/>
    <xf numFmtId="184" fontId="176" fillId="41" borderId="52" applyNumberFormat="0" applyFont="0" applyAlignment="0" applyProtection="0"/>
    <xf numFmtId="184" fontId="206" fillId="0" borderId="0"/>
    <xf numFmtId="0" fontId="207" fillId="0" borderId="0"/>
    <xf numFmtId="0" fontId="207" fillId="0" borderId="0"/>
    <xf numFmtId="170" fontId="207" fillId="0" borderId="0" applyBorder="0"/>
    <xf numFmtId="168" fontId="207" fillId="0" borderId="0" applyBorder="0"/>
    <xf numFmtId="169" fontId="207" fillId="0" borderId="0" applyBorder="0"/>
    <xf numFmtId="167" fontId="207" fillId="0" borderId="0" applyBorder="0"/>
    <xf numFmtId="0" fontId="208" fillId="0" borderId="0" applyNumberFormat="0" applyBorder="0"/>
    <xf numFmtId="0" fontId="209" fillId="0" borderId="0" applyNumberFormat="0" applyBorder="0"/>
    <xf numFmtId="9" fontId="207" fillId="0" borderId="0" applyBorder="0"/>
    <xf numFmtId="0" fontId="208" fillId="0" borderId="0" applyNumberFormat="0" applyBorder="0"/>
    <xf numFmtId="0" fontId="209" fillId="0" borderId="0" applyNumberFormat="0" applyBorder="0"/>
    <xf numFmtId="9" fontId="207" fillId="0" borderId="0" applyBorder="0"/>
    <xf numFmtId="0" fontId="208" fillId="0" borderId="0" applyNumberFormat="0" applyBorder="0"/>
    <xf numFmtId="0" fontId="209" fillId="0" borderId="0" applyNumberFormat="0" applyBorder="0"/>
    <xf numFmtId="9" fontId="207" fillId="0" borderId="0" applyBorder="0"/>
    <xf numFmtId="0" fontId="208" fillId="0" borderId="0" applyNumberFormat="0" applyBorder="0"/>
    <xf numFmtId="0" fontId="209" fillId="0" borderId="0" applyNumberFormat="0" applyBorder="0"/>
    <xf numFmtId="9" fontId="207" fillId="0" borderId="0" applyBorder="0"/>
    <xf numFmtId="0" fontId="208" fillId="0" borderId="0" applyNumberFormat="0" applyBorder="0"/>
    <xf numFmtId="0" fontId="208" fillId="0" borderId="0" applyNumberFormat="0" applyBorder="0" applyAlignment="0" applyProtection="0"/>
    <xf numFmtId="0" fontId="209" fillId="0" borderId="0" applyNumberFormat="0" applyBorder="0" applyAlignment="0" applyProtection="0"/>
    <xf numFmtId="9" fontId="207" fillId="0" borderId="0" applyBorder="0"/>
    <xf numFmtId="0" fontId="209" fillId="0" borderId="0" applyNumberFormat="0" applyBorder="0"/>
    <xf numFmtId="9" fontId="207" fillId="0" borderId="0" applyBorder="0"/>
    <xf numFmtId="9" fontId="207" fillId="0" borderId="0" applyBorder="0"/>
    <xf numFmtId="0" fontId="213" fillId="0" borderId="0" applyNumberFormat="0" applyBorder="0" applyAlignment="0" applyProtection="0"/>
    <xf numFmtId="0" fontId="214" fillId="0" borderId="0" applyNumberFormat="0" applyBorder="0" applyAlignment="0" applyProtection="0"/>
    <xf numFmtId="9" fontId="207" fillId="0" borderId="0" applyFont="0" applyBorder="0"/>
    <xf numFmtId="9" fontId="207" fillId="0" borderId="0" applyFont="0" applyBorder="0"/>
    <xf numFmtId="0" fontId="207" fillId="39" borderId="49" applyNumberFormat="0" applyFont="0" applyProtection="0">
      <alignment horizontal="left"/>
    </xf>
    <xf numFmtId="0" fontId="207" fillId="39" borderId="50" applyNumberFormat="0" applyFont="0" applyAlignment="0" applyProtection="0"/>
    <xf numFmtId="0" fontId="207" fillId="39" borderId="51" applyNumberFormat="0" applyFont="0" applyAlignment="0" applyProtection="0"/>
    <xf numFmtId="0" fontId="207" fillId="39" borderId="52" applyNumberFormat="0" applyFont="0" applyAlignment="0" applyProtection="0"/>
    <xf numFmtId="0" fontId="207" fillId="40" borderId="52" applyNumberFormat="0" applyFont="0" applyProtection="0">
      <alignment horizontal="center" vertical="center"/>
    </xf>
    <xf numFmtId="0" fontId="211" fillId="41" borderId="0" applyNumberFormat="0" applyAlignment="0" applyProtection="0"/>
    <xf numFmtId="0" fontId="210" fillId="42" borderId="0" applyNumberFormat="0" applyBorder="0" applyProtection="0">
      <alignment horizontal="center" wrapText="1"/>
    </xf>
    <xf numFmtId="0" fontId="210" fillId="42" borderId="0" applyNumberFormat="0" applyBorder="0" applyProtection="0">
      <alignment horizontal="center" wrapText="1"/>
    </xf>
    <xf numFmtId="0" fontId="211" fillId="41" borderId="0" applyNumberFormat="0"/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49" applyNumberFormat="0" applyFont="0" applyProtection="0">
      <alignment horizontal="left"/>
    </xf>
    <xf numFmtId="0" fontId="207" fillId="41" borderId="50" applyNumberFormat="0" applyFont="0" applyAlignment="0" applyProtection="0"/>
    <xf numFmtId="0" fontId="207" fillId="41" borderId="51" applyNumberFormat="0" applyFont="0" applyAlignment="0" applyProtection="0"/>
    <xf numFmtId="0" fontId="207" fillId="41" borderId="52" applyNumberFormat="0" applyFont="0" applyAlignment="0" applyProtection="0"/>
    <xf numFmtId="0" fontId="207" fillId="39" borderId="49" applyNumberFormat="0" applyFont="0" applyProtection="0">
      <alignment horizontal="left"/>
    </xf>
    <xf numFmtId="0" fontId="207" fillId="39" borderId="50" applyNumberFormat="0" applyFont="0" applyAlignment="0" applyProtection="0"/>
    <xf numFmtId="0" fontId="207" fillId="39" borderId="51" applyNumberFormat="0" applyFont="0" applyAlignment="0" applyProtection="0"/>
    <xf numFmtId="0" fontId="207" fillId="39" borderId="52" applyNumberFormat="0" applyFont="0" applyAlignment="0" applyProtection="0"/>
    <xf numFmtId="0" fontId="207" fillId="40" borderId="52" applyNumberFormat="0" applyFont="0" applyProtection="0">
      <alignment horizontal="center" vertical="center"/>
    </xf>
    <xf numFmtId="0" fontId="212" fillId="39" borderId="52" applyNumberFormat="0" applyProtection="0">
      <alignment horizontal="center" vertical="center"/>
    </xf>
    <xf numFmtId="0" fontId="211" fillId="43" borderId="0" applyNumberFormat="0" applyBorder="0" applyAlignment="0" applyProtection="0"/>
    <xf numFmtId="0" fontId="215" fillId="43" borderId="0" applyNumberFormat="0" applyBorder="0" applyProtection="0">
      <alignment horizontal="center"/>
    </xf>
    <xf numFmtId="0" fontId="211" fillId="41" borderId="0" applyNumberFormat="0" applyAlignment="0" applyProtection="0"/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11" fillId="41" borderId="0" applyNumberFormat="0" applyAlignment="0" applyProtection="0"/>
    <xf numFmtId="0" fontId="216" fillId="45" borderId="0" applyNumberFormat="0" applyBorder="0" applyAlignment="0" applyProtection="0"/>
    <xf numFmtId="0" fontId="207" fillId="41" borderId="53" applyNumberFormat="0" applyFont="0" applyProtection="0">
      <alignment horizontal="left" vertical="center"/>
    </xf>
    <xf numFmtId="0" fontId="207" fillId="41" borderId="53" applyNumberFormat="0" applyFont="0" applyProtection="0">
      <alignment horizontal="left" vertical="center"/>
    </xf>
    <xf numFmtId="0" fontId="207" fillId="41" borderId="54" applyNumberFormat="0" applyProtection="0">
      <alignment horizontal="center" vertical="center"/>
    </xf>
    <xf numFmtId="0" fontId="207" fillId="41" borderId="54" applyNumberFormat="0" applyProtection="0">
      <alignment horizontal="center" vertical="center"/>
    </xf>
    <xf numFmtId="0" fontId="207" fillId="41" borderId="55" applyNumberFormat="0" applyProtection="0">
      <alignment horizontal="center" vertical="center"/>
    </xf>
    <xf numFmtId="0" fontId="207" fillId="41" borderId="55" applyNumberFormat="0" applyProtection="0">
      <alignment horizontal="center" vertical="center"/>
    </xf>
    <xf numFmtId="0" fontId="207" fillId="41" borderId="56" applyNumberFormat="0" applyProtection="0">
      <alignment horizontal="center" vertical="center"/>
    </xf>
    <xf numFmtId="0" fontId="207" fillId="41" borderId="56" applyNumberFormat="0" applyProtection="0">
      <alignment horizontal="center" vertical="center"/>
    </xf>
    <xf numFmtId="0" fontId="207" fillId="46" borderId="53" applyNumberFormat="0" applyFont="0" applyProtection="0">
      <alignment horizontal="left" vertical="center"/>
    </xf>
    <xf numFmtId="0" fontId="207" fillId="46" borderId="53" applyNumberFormat="0" applyFont="0" applyProtection="0">
      <alignment horizontal="left" vertical="center"/>
    </xf>
    <xf numFmtId="0" fontId="207" fillId="46" borderId="54" applyNumberFormat="0" applyFont="0" applyProtection="0">
      <alignment horizontal="center" vertical="center"/>
    </xf>
    <xf numFmtId="0" fontId="207" fillId="46" borderId="54" applyNumberFormat="0" applyFont="0" applyProtection="0">
      <alignment horizontal="center" vertical="center"/>
    </xf>
    <xf numFmtId="0" fontId="207" fillId="46" borderId="55" applyNumberFormat="0" applyFont="0" applyProtection="0">
      <alignment horizontal="center" vertical="center"/>
    </xf>
    <xf numFmtId="0" fontId="207" fillId="46" borderId="55" applyNumberFormat="0" applyFont="0" applyProtection="0">
      <alignment horizontal="center" vertical="center"/>
    </xf>
    <xf numFmtId="0" fontId="207" fillId="46" borderId="56" applyNumberFormat="0" applyFont="0" applyProtection="0">
      <alignment horizontal="center" vertical="center"/>
    </xf>
    <xf numFmtId="0" fontId="207" fillId="46" borderId="56" applyNumberFormat="0" applyFont="0" applyProtection="0">
      <alignment horizontal="center" vertical="center"/>
    </xf>
    <xf numFmtId="0" fontId="207" fillId="45" borderId="56" applyNumberFormat="0" applyFont="0" applyProtection="0">
      <alignment horizontal="center" vertical="center"/>
    </xf>
    <xf numFmtId="0" fontId="207" fillId="45" borderId="56" applyNumberFormat="0" applyFont="0" applyProtection="0">
      <alignment horizontal="center" vertical="center"/>
    </xf>
    <xf numFmtId="0" fontId="212" fillId="41" borderId="56" applyNumberFormat="0" applyProtection="0">
      <alignment horizontal="center" vertical="center"/>
    </xf>
    <xf numFmtId="0" fontId="212" fillId="46" borderId="56" applyNumberFormat="0" applyProtection="0">
      <alignment horizontal="center" vertical="center"/>
    </xf>
    <xf numFmtId="0" fontId="210" fillId="42" borderId="0" applyNumberFormat="0" applyBorder="0" applyProtection="0">
      <alignment horizontal="center" wrapText="1"/>
    </xf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07" fillId="41" borderId="49" applyNumberFormat="0" applyFont="0" applyProtection="0">
      <alignment horizontal="left" vertical="center"/>
    </xf>
    <xf numFmtId="0" fontId="207" fillId="41" borderId="49" applyNumberFormat="0" applyFont="0" applyProtection="0">
      <alignment horizontal="left" vertical="center"/>
    </xf>
    <xf numFmtId="0" fontId="207" fillId="41" borderId="50" applyNumberFormat="0" applyProtection="0">
      <alignment horizontal="center" vertical="center"/>
    </xf>
    <xf numFmtId="0" fontId="207" fillId="41" borderId="50" applyNumberFormat="0" applyProtection="0">
      <alignment horizontal="center" vertical="center"/>
    </xf>
    <xf numFmtId="0" fontId="207" fillId="41" borderId="51" applyNumberFormat="0" applyProtection="0">
      <alignment horizontal="center" vertical="center"/>
    </xf>
    <xf numFmtId="0" fontId="207" fillId="41" borderId="51" applyNumberFormat="0" applyProtection="0">
      <alignment horizontal="center" vertical="center"/>
    </xf>
    <xf numFmtId="0" fontId="207" fillId="41" borderId="52" applyNumberFormat="0" applyProtection="0">
      <alignment horizontal="center" vertical="center"/>
    </xf>
    <xf numFmtId="0" fontId="207" fillId="41" borderId="52" applyNumberFormat="0" applyProtection="0">
      <alignment horizontal="center" vertical="center"/>
    </xf>
    <xf numFmtId="0" fontId="207" fillId="39" borderId="49" applyNumberFormat="0" applyFont="0" applyProtection="0">
      <alignment horizontal="left" vertical="center"/>
    </xf>
    <xf numFmtId="0" fontId="207" fillId="39" borderId="49" applyNumberFormat="0" applyFont="0" applyProtection="0">
      <alignment horizontal="left" vertical="center"/>
    </xf>
    <xf numFmtId="0" fontId="207" fillId="39" borderId="50" applyNumberFormat="0" applyProtection="0">
      <alignment horizontal="center" vertical="center"/>
    </xf>
    <xf numFmtId="0" fontId="207" fillId="39" borderId="50" applyNumberFormat="0" applyProtection="0">
      <alignment horizontal="center" vertical="center"/>
    </xf>
    <xf numFmtId="0" fontId="207" fillId="39" borderId="51" applyNumberFormat="0" applyProtection="0">
      <alignment horizontal="center" vertical="center"/>
    </xf>
    <xf numFmtId="0" fontId="207" fillId="39" borderId="51" applyNumberFormat="0" applyProtection="0">
      <alignment horizontal="center" vertical="center"/>
    </xf>
    <xf numFmtId="0" fontId="207" fillId="39" borderId="52" applyNumberFormat="0" applyProtection="0">
      <alignment horizontal="center" vertical="center"/>
    </xf>
    <xf numFmtId="0" fontId="207" fillId="39" borderId="52" applyNumberFormat="0" applyProtection="0">
      <alignment horizontal="center" vertical="center"/>
    </xf>
    <xf numFmtId="0" fontId="207" fillId="40" borderId="52" applyNumberFormat="0" applyFont="0" applyProtection="0">
      <alignment horizontal="center" vertical="center"/>
    </xf>
    <xf numFmtId="0" fontId="207" fillId="40" borderId="52" applyNumberFormat="0" applyFont="0" applyProtection="0">
      <alignment horizontal="center" vertical="center"/>
    </xf>
    <xf numFmtId="0" fontId="212" fillId="41" borderId="52" applyNumberFormat="0" applyProtection="0">
      <alignment horizontal="center" vertical="center"/>
    </xf>
    <xf numFmtId="0" fontId="212" fillId="39" borderId="52" applyNumberFormat="0" applyProtection="0">
      <alignment horizontal="center" vertical="center"/>
    </xf>
    <xf numFmtId="0" fontId="210" fillId="42" borderId="0" applyNumberFormat="0" applyBorder="0">
      <alignment horizontal="center" wrapText="1"/>
    </xf>
    <xf numFmtId="0" fontId="211" fillId="41" borderId="0" applyNumberFormat="0"/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07" fillId="41" borderId="50" applyNumberFormat="0" applyFont="0"/>
    <xf numFmtId="0" fontId="207" fillId="39" borderId="50" applyNumberFormat="0" applyFont="0"/>
    <xf numFmtId="0" fontId="217" fillId="43" borderId="0" applyNumberFormat="0" applyBorder="0" applyAlignment="0" applyProtection="0"/>
    <xf numFmtId="0" fontId="217" fillId="43" borderId="0" applyNumberFormat="0" applyBorder="0" applyAlignment="0" applyProtection="0"/>
    <xf numFmtId="0" fontId="217" fillId="43" borderId="0" applyNumberFormat="0" applyBorder="0" applyAlignment="0" applyProtection="0"/>
    <xf numFmtId="0" fontId="210" fillId="42" borderId="0" applyNumberFormat="0" applyBorder="0">
      <alignment horizontal="center" wrapText="1"/>
    </xf>
    <xf numFmtId="0" fontId="210" fillId="42" borderId="0" applyNumberFormat="0" applyBorder="0">
      <alignment horizontal="center" wrapText="1"/>
    </xf>
    <xf numFmtId="0" fontId="207" fillId="41" borderId="49" applyNumberFormat="0"/>
    <xf numFmtId="0" fontId="207" fillId="41" borderId="50" applyNumberFormat="0"/>
    <xf numFmtId="0" fontId="207" fillId="41" borderId="51" applyNumberFormat="0"/>
    <xf numFmtId="0" fontId="207" fillId="41" borderId="52" applyNumberFormat="0"/>
    <xf numFmtId="0" fontId="207" fillId="39" borderId="49" applyNumberFormat="0"/>
    <xf numFmtId="0" fontId="207" fillId="39" borderId="50" applyNumberFormat="0"/>
    <xf numFmtId="0" fontId="207" fillId="39" borderId="51" applyNumberFormat="0"/>
    <xf numFmtId="0" fontId="207" fillId="39" borderId="52" applyNumberFormat="0"/>
    <xf numFmtId="0" fontId="207" fillId="41" borderId="49" applyNumberFormat="0"/>
    <xf numFmtId="0" fontId="207" fillId="41" borderId="50" applyNumberFormat="0"/>
    <xf numFmtId="0" fontId="207" fillId="41" borderId="51" applyNumberFormat="0"/>
    <xf numFmtId="0" fontId="207" fillId="41" borderId="52" applyNumberFormat="0"/>
    <xf numFmtId="0" fontId="207" fillId="44" borderId="49" applyNumberFormat="0"/>
    <xf numFmtId="0" fontId="207" fillId="44" borderId="50" applyNumberFormat="0"/>
    <xf numFmtId="0" fontId="207" fillId="44" borderId="51" applyNumberFormat="0"/>
    <xf numFmtId="0" fontId="207" fillId="44" borderId="52" applyNumberFormat="0"/>
    <xf numFmtId="0" fontId="210" fillId="42" borderId="0" applyNumberFormat="0" applyBorder="0">
      <alignment horizontal="center" wrapText="1"/>
    </xf>
    <xf numFmtId="0" fontId="207" fillId="41" borderId="49" applyNumberFormat="0">
      <alignment horizontal="left"/>
    </xf>
    <xf numFmtId="0" fontId="207" fillId="41" borderId="50" applyNumberFormat="0"/>
    <xf numFmtId="0" fontId="207" fillId="41" borderId="51" applyNumberFormat="0"/>
    <xf numFmtId="0" fontId="207" fillId="41" borderId="52" applyNumberFormat="0"/>
    <xf numFmtId="0" fontId="207" fillId="44" borderId="49" applyNumberFormat="0">
      <alignment horizontal="left"/>
    </xf>
    <xf numFmtId="0" fontId="207" fillId="44" borderId="50" applyNumberFormat="0"/>
    <xf numFmtId="0" fontId="207" fillId="44" borderId="51" applyNumberFormat="0"/>
    <xf numFmtId="0" fontId="207" fillId="44" borderId="52" applyNumberFormat="0"/>
    <xf numFmtId="0" fontId="210" fillId="42" borderId="0" applyNumberFormat="0" applyBorder="0" applyProtection="0">
      <alignment horizontal="center" wrapText="1"/>
    </xf>
    <xf numFmtId="0" fontId="210" fillId="42" borderId="0" applyNumberFormat="0" applyBorder="0">
      <alignment horizontal="center" wrapText="1"/>
    </xf>
    <xf numFmtId="0" fontId="207" fillId="41" borderId="49" applyNumberFormat="0" applyFont="0" applyProtection="0">
      <alignment horizontal="left"/>
    </xf>
    <xf numFmtId="0" fontId="207" fillId="41" borderId="50" applyNumberFormat="0" applyFont="0" applyAlignment="0" applyProtection="0"/>
    <xf numFmtId="0" fontId="207" fillId="41" borderId="51" applyNumberFormat="0" applyFont="0" applyAlignment="0" applyProtection="0"/>
    <xf numFmtId="0" fontId="207" fillId="41" borderId="52" applyNumberFormat="0" applyFont="0" applyAlignment="0" applyProtection="0"/>
    <xf numFmtId="0" fontId="207" fillId="39" borderId="49" applyNumberFormat="0" applyFont="0" applyProtection="0">
      <alignment horizontal="left"/>
    </xf>
    <xf numFmtId="0" fontId="207" fillId="39" borderId="50" applyNumberFormat="0" applyFont="0" applyAlignment="0" applyProtection="0"/>
    <xf numFmtId="0" fontId="207" fillId="39" borderId="51" applyNumberFormat="0" applyFont="0" applyAlignment="0" applyProtection="0"/>
    <xf numFmtId="0" fontId="207" fillId="39" borderId="52" applyNumberFormat="0" applyFont="0" applyAlignment="0" applyProtection="0"/>
    <xf numFmtId="0" fontId="207" fillId="40" borderId="52" applyNumberFormat="0" applyFont="0" applyProtection="0">
      <alignment horizontal="center" vertical="center"/>
    </xf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11" fillId="41" borderId="0" applyNumberFormat="0" applyAlignment="0" applyProtection="0"/>
    <xf numFmtId="0" fontId="210" fillId="42" borderId="0" applyNumberFormat="0" applyBorder="0" applyProtection="0">
      <alignment horizontal="center" wrapText="1"/>
    </xf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11" fillId="41" borderId="0" applyNumberFormat="0"/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10" fillId="42" borderId="0" applyNumberFormat="0" applyBorder="0">
      <alignment horizontal="center" wrapText="1"/>
    </xf>
    <xf numFmtId="0" fontId="207" fillId="41" borderId="49" applyNumberFormat="0" applyFont="0" applyProtection="0">
      <alignment horizontal="left"/>
    </xf>
    <xf numFmtId="0" fontId="207" fillId="41" borderId="50" applyNumberFormat="0" applyFont="0" applyAlignment="0" applyProtection="0"/>
    <xf numFmtId="0" fontId="207" fillId="41" borderId="51" applyNumberFormat="0" applyFont="0" applyAlignment="0" applyProtection="0"/>
    <xf numFmtId="0" fontId="207" fillId="41" borderId="52" applyNumberFormat="0" applyFont="0" applyAlignment="0" applyProtection="0"/>
    <xf numFmtId="0" fontId="222" fillId="46" borderId="0" applyNumberFormat="0" applyBorder="0"/>
    <xf numFmtId="0" fontId="222" fillId="40" borderId="0" applyNumberFormat="0" applyBorder="0"/>
    <xf numFmtId="0" fontId="222" fillId="40" borderId="0" applyNumberFormat="0" applyBorder="0"/>
    <xf numFmtId="0" fontId="222" fillId="46" borderId="0" applyNumberFormat="0" applyBorder="0"/>
    <xf numFmtId="0" fontId="222" fillId="48" borderId="0" applyNumberFormat="0" applyBorder="0"/>
    <xf numFmtId="0" fontId="222" fillId="49" borderId="0" applyNumberFormat="0" applyBorder="0"/>
    <xf numFmtId="0" fontId="222" fillId="46" borderId="0" applyNumberFormat="0" applyBorder="0"/>
    <xf numFmtId="0" fontId="222" fillId="40" borderId="0" applyNumberFormat="0" applyBorder="0"/>
    <xf numFmtId="0" fontId="222" fillId="40" borderId="0" applyNumberFormat="0" applyBorder="0"/>
    <xf numFmtId="0" fontId="222" fillId="46" borderId="0" applyNumberFormat="0" applyBorder="0"/>
    <xf numFmtId="0" fontId="222" fillId="50" borderId="0" applyNumberFormat="0" applyBorder="0"/>
    <xf numFmtId="0" fontId="222" fillId="49" borderId="0" applyNumberFormat="0" applyBorder="0"/>
    <xf numFmtId="0" fontId="215" fillId="51" borderId="0" applyNumberFormat="0" applyBorder="0"/>
    <xf numFmtId="0" fontId="215" fillId="40" borderId="0" applyNumberFormat="0" applyBorder="0"/>
    <xf numFmtId="0" fontId="215" fillId="40" borderId="0" applyNumberFormat="0" applyBorder="0"/>
    <xf numFmtId="0" fontId="215" fillId="45" borderId="0" applyNumberFormat="0" applyBorder="0"/>
    <xf numFmtId="0" fontId="215" fillId="51" borderId="0" applyNumberFormat="0" applyBorder="0"/>
    <xf numFmtId="0" fontId="215" fillId="49" borderId="0" applyNumberFormat="0" applyBorder="0"/>
    <xf numFmtId="0" fontId="215" fillId="51" borderId="0" applyNumberFormat="0" applyBorder="0"/>
    <xf numFmtId="0" fontId="215" fillId="43" borderId="0" applyNumberFormat="0" applyBorder="0"/>
    <xf numFmtId="0" fontId="215" fillId="52" borderId="0" applyNumberFormat="0" applyBorder="0"/>
    <xf numFmtId="0" fontId="215" fillId="53" borderId="0" applyNumberFormat="0" applyBorder="0"/>
    <xf numFmtId="0" fontId="215" fillId="51" borderId="0" applyNumberFormat="0" applyBorder="0"/>
    <xf numFmtId="0" fontId="215" fillId="54" borderId="0" applyNumberFormat="0" applyBorder="0"/>
    <xf numFmtId="0" fontId="223" fillId="55" borderId="0" applyNumberFormat="0" applyBorder="0"/>
    <xf numFmtId="0" fontId="224" fillId="46" borderId="61" applyNumberFormat="0"/>
    <xf numFmtId="0" fontId="218" fillId="45" borderId="62" applyNumberFormat="0"/>
    <xf numFmtId="176" fontId="207" fillId="0" borderId="0" applyBorder="0"/>
    <xf numFmtId="174" fontId="207" fillId="0" borderId="0" applyBorder="0"/>
    <xf numFmtId="175" fontId="207" fillId="0" borderId="0" applyBorder="0"/>
    <xf numFmtId="173" fontId="207" fillId="0" borderId="0" applyBorder="0"/>
    <xf numFmtId="0" fontId="225" fillId="0" borderId="0" applyNumberFormat="0" applyBorder="0"/>
    <xf numFmtId="176" fontId="207" fillId="0" borderId="0" applyBorder="0"/>
    <xf numFmtId="174" fontId="207" fillId="0" borderId="0" applyBorder="0"/>
    <xf numFmtId="175" fontId="207" fillId="0" borderId="0" applyBorder="0"/>
    <xf numFmtId="173" fontId="207" fillId="0" borderId="0" applyBorder="0"/>
    <xf numFmtId="0" fontId="219" fillId="0" borderId="0" applyNumberFormat="0" applyBorder="0"/>
    <xf numFmtId="0" fontId="220" fillId="0" borderId="0" applyNumberFormat="0" applyBorder="0"/>
    <xf numFmtId="0" fontId="219" fillId="0" borderId="0" applyNumberFormat="0" applyBorder="0"/>
    <xf numFmtId="0" fontId="220" fillId="0" borderId="0" applyNumberFormat="0" applyBorder="0"/>
    <xf numFmtId="0" fontId="219" fillId="0" borderId="0" applyNumberFormat="0" applyBorder="0"/>
    <xf numFmtId="0" fontId="220" fillId="0" borderId="0" applyNumberFormat="0" applyBorder="0"/>
    <xf numFmtId="0" fontId="219" fillId="0" borderId="0" applyNumberFormat="0" applyBorder="0"/>
    <xf numFmtId="0" fontId="220" fillId="0" borderId="0" applyNumberFormat="0" applyBorder="0"/>
    <xf numFmtId="0" fontId="219" fillId="0" borderId="0" applyNumberFormat="0" applyBorder="0"/>
    <xf numFmtId="0" fontId="220" fillId="0" borderId="0" applyNumberFormat="0" applyBorder="0"/>
    <xf numFmtId="9" fontId="207" fillId="0" borderId="0" applyBorder="0"/>
    <xf numFmtId="0" fontId="208" fillId="0" borderId="0" applyNumberFormat="0" applyBorder="0"/>
    <xf numFmtId="0" fontId="226" fillId="56" borderId="0" applyNumberFormat="0" applyBorder="0"/>
    <xf numFmtId="0" fontId="227" fillId="0" borderId="63" applyNumberFormat="0"/>
    <xf numFmtId="0" fontId="228" fillId="0" borderId="63" applyNumberFormat="0"/>
    <xf numFmtId="0" fontId="229" fillId="0" borderId="64" applyNumberFormat="0"/>
    <xf numFmtId="0" fontId="229" fillId="0" borderId="0" applyNumberFormat="0" applyBorder="0"/>
    <xf numFmtId="0" fontId="209" fillId="0" borderId="0" applyNumberFormat="0" applyBorder="0"/>
    <xf numFmtId="0" fontId="230" fillId="49" borderId="61" applyNumberFormat="0"/>
    <xf numFmtId="0" fontId="231" fillId="0" borderId="65" applyNumberFormat="0"/>
    <xf numFmtId="0" fontId="232" fillId="57" borderId="0" applyNumberFormat="0" applyBorder="0"/>
    <xf numFmtId="0" fontId="207" fillId="57" borderId="53" applyNumberFormat="0"/>
    <xf numFmtId="0" fontId="233" fillId="46" borderId="66" applyNumberFormat="0"/>
    <xf numFmtId="9" fontId="207" fillId="0" borderId="0" applyBorder="0"/>
    <xf numFmtId="0" fontId="210" fillId="42" borderId="0" applyNumberFormat="0" applyBorder="0">
      <alignment horizontal="center" wrapText="1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12" fillId="41" borderId="52" applyNumberFormat="0">
      <alignment horizontal="center" vertical="center"/>
    </xf>
    <xf numFmtId="0" fontId="212" fillId="44" borderId="52" applyNumberFormat="0">
      <alignment horizontal="center" vertical="center"/>
    </xf>
    <xf numFmtId="0" fontId="210" fillId="42" borderId="0" applyNumberFormat="0" applyBorder="0">
      <alignment horizontal="center" wrapText="1"/>
    </xf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12" fillId="41" borderId="52" applyNumberFormat="0">
      <alignment horizontal="center" vertical="center"/>
    </xf>
    <xf numFmtId="0" fontId="212" fillId="44" borderId="52" applyNumberFormat="0">
      <alignment horizontal="center" vertical="center"/>
    </xf>
    <xf numFmtId="0" fontId="207" fillId="41" borderId="50" applyNumberFormat="0"/>
    <xf numFmtId="0" fontId="207" fillId="46" borderId="50" applyNumberFormat="0"/>
    <xf numFmtId="0" fontId="207" fillId="46" borderId="49" applyNumberFormat="0"/>
    <xf numFmtId="0" fontId="207" fillId="46" borderId="50" applyNumberFormat="0"/>
    <xf numFmtId="0" fontId="207" fillId="46" borderId="51" applyNumberFormat="0"/>
    <xf numFmtId="0" fontId="207" fillId="46" borderId="52" applyNumberFormat="0"/>
    <xf numFmtId="0" fontId="207" fillId="46" borderId="0" applyNumberFormat="0" applyBorder="0"/>
    <xf numFmtId="0" fontId="234" fillId="0" borderId="0" applyNumberFormat="0" applyBorder="0"/>
    <xf numFmtId="0" fontId="235" fillId="0" borderId="67" applyNumberFormat="0"/>
    <xf numFmtId="0" fontId="236" fillId="0" borderId="0" applyNumberFormat="0" applyBorder="0"/>
    <xf numFmtId="0" fontId="211" fillId="43" borderId="0" applyNumberFormat="0" applyBorder="0" applyAlignment="0" applyProtection="0"/>
    <xf numFmtId="0" fontId="215" fillId="43" borderId="0" applyNumberFormat="0" applyBorder="0" applyProtection="0">
      <alignment horizontal="center"/>
    </xf>
    <xf numFmtId="0" fontId="221" fillId="43" borderId="0" applyNumberFormat="0" applyBorder="0" applyAlignment="0" applyProtection="0"/>
    <xf numFmtId="0" fontId="216" fillId="45" borderId="0" applyNumberFormat="0" applyBorder="0" applyAlignment="0" applyProtection="0"/>
    <xf numFmtId="0" fontId="207" fillId="41" borderId="53" applyNumberFormat="0" applyFont="0" applyProtection="0">
      <alignment horizontal="left" vertical="center"/>
    </xf>
    <xf numFmtId="0" fontId="207" fillId="41" borderId="54" applyNumberFormat="0" applyProtection="0">
      <alignment horizontal="center" vertical="center"/>
    </xf>
    <xf numFmtId="0" fontId="207" fillId="41" borderId="55" applyNumberFormat="0" applyProtection="0">
      <alignment horizontal="center" vertical="center"/>
    </xf>
    <xf numFmtId="0" fontId="207" fillId="41" borderId="56" applyNumberFormat="0" applyProtection="0">
      <alignment horizontal="center" vertical="center"/>
    </xf>
    <xf numFmtId="0" fontId="207" fillId="46" borderId="53" applyNumberFormat="0" applyFont="0" applyProtection="0">
      <alignment horizontal="left" vertical="center"/>
    </xf>
    <xf numFmtId="0" fontId="207" fillId="46" borderId="54" applyNumberFormat="0" applyProtection="0">
      <alignment horizontal="center" vertical="center"/>
    </xf>
    <xf numFmtId="0" fontId="207" fillId="46" borderId="55" applyNumberFormat="0" applyProtection="0">
      <alignment horizontal="center" vertical="center"/>
    </xf>
    <xf numFmtId="0" fontId="207" fillId="46" borderId="56" applyNumberFormat="0" applyProtection="0">
      <alignment horizontal="center" vertical="center"/>
    </xf>
    <xf numFmtId="0" fontId="207" fillId="45" borderId="56" applyNumberFormat="0" applyFont="0" applyProtection="0">
      <alignment horizontal="center" vertical="center"/>
    </xf>
    <xf numFmtId="0" fontId="212" fillId="41" borderId="56" applyNumberFormat="0" applyProtection="0">
      <alignment horizontal="center" vertical="center"/>
    </xf>
    <xf numFmtId="0" fontId="212" fillId="46" borderId="56" applyNumberFormat="0" applyProtection="0">
      <alignment horizontal="center" vertical="center"/>
    </xf>
    <xf numFmtId="0" fontId="211" fillId="41" borderId="0" applyNumberFormat="0" applyAlignment="0" applyProtection="0"/>
    <xf numFmtId="0" fontId="216" fillId="45" borderId="0" applyNumberFormat="0" applyBorder="0" applyAlignment="0" applyProtection="0"/>
    <xf numFmtId="0" fontId="216" fillId="45" borderId="0" applyNumberFormat="0" applyBorder="0" applyAlignment="0" applyProtection="0"/>
    <xf numFmtId="0" fontId="216" fillId="45" borderId="0" applyNumberFormat="0" applyBorder="0" applyAlignment="0" applyProtection="0"/>
    <xf numFmtId="0" fontId="216" fillId="45" borderId="0" applyNumberFormat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32" applyNumberFormat="0" applyFill="0" applyAlignment="0" applyProtection="0"/>
    <xf numFmtId="0" fontId="9" fillId="0" borderId="33" applyNumberFormat="0" applyFill="0" applyAlignment="0" applyProtection="0"/>
    <xf numFmtId="0" fontId="10" fillId="0" borderId="34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35" applyNumberFormat="0" applyAlignment="0" applyProtection="0"/>
    <xf numFmtId="0" fontId="15" fillId="11" borderId="36" applyNumberFormat="0" applyAlignment="0" applyProtection="0"/>
    <xf numFmtId="0" fontId="16" fillId="11" borderId="35" applyNumberFormat="0" applyAlignment="0" applyProtection="0"/>
    <xf numFmtId="0" fontId="17" fillId="0" borderId="37" applyNumberFormat="0" applyFill="0" applyAlignment="0" applyProtection="0"/>
    <xf numFmtId="0" fontId="18" fillId="12" borderId="38" applyNumberFormat="0" applyAlignment="0" applyProtection="0"/>
    <xf numFmtId="0" fontId="19" fillId="0" borderId="0" applyNumberFormat="0" applyFill="0" applyBorder="0" applyAlignment="0" applyProtection="0"/>
    <xf numFmtId="0" fontId="1" fillId="13" borderId="39" applyNumberFormat="0" applyFont="0" applyAlignment="0" applyProtection="0"/>
    <xf numFmtId="0" fontId="20" fillId="0" borderId="0" applyNumberFormat="0" applyFill="0" applyBorder="0" applyAlignment="0" applyProtection="0"/>
    <xf numFmtId="0" fontId="6" fillId="0" borderId="40" applyNumberFormat="0" applyFill="0" applyAlignment="0" applyProtection="0"/>
    <xf numFmtId="0" fontId="2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9" fillId="0" borderId="0"/>
    <xf numFmtId="0" fontId="239" fillId="0" borderId="0"/>
    <xf numFmtId="170" fontId="239" fillId="0" borderId="0" applyBorder="0"/>
    <xf numFmtId="168" fontId="239" fillId="0" borderId="0" applyBorder="0"/>
    <xf numFmtId="169" fontId="239" fillId="0" borderId="0" applyBorder="0"/>
    <xf numFmtId="167" fontId="239" fillId="0" borderId="0" applyBorder="0"/>
    <xf numFmtId="0" fontId="240" fillId="0" borderId="0" applyNumberFormat="0" applyBorder="0"/>
    <xf numFmtId="0" fontId="241" fillId="0" borderId="0" applyNumberFormat="0" applyBorder="0"/>
    <xf numFmtId="9" fontId="239" fillId="0" borderId="0" applyBorder="0"/>
    <xf numFmtId="0" fontId="240" fillId="0" borderId="0" applyNumberFormat="0" applyBorder="0"/>
    <xf numFmtId="0" fontId="241" fillId="0" borderId="0" applyNumberFormat="0" applyBorder="0"/>
    <xf numFmtId="9" fontId="239" fillId="0" borderId="0" applyBorder="0"/>
    <xf numFmtId="0" fontId="240" fillId="0" borderId="0" applyNumberFormat="0" applyBorder="0"/>
    <xf numFmtId="0" fontId="241" fillId="0" borderId="0" applyNumberFormat="0" applyBorder="0"/>
    <xf numFmtId="9" fontId="239" fillId="0" borderId="0" applyBorder="0"/>
    <xf numFmtId="0" fontId="240" fillId="0" borderId="0" applyNumberFormat="0" applyBorder="0"/>
    <xf numFmtId="0" fontId="241" fillId="0" borderId="0" applyNumberFormat="0" applyBorder="0"/>
    <xf numFmtId="9" fontId="239" fillId="0" borderId="0" applyBorder="0"/>
    <xf numFmtId="0" fontId="240" fillId="0" borderId="0" applyNumberFormat="0" applyBorder="0"/>
    <xf numFmtId="0" fontId="240" fillId="0" borderId="0" applyNumberFormat="0" applyBorder="0" applyAlignment="0" applyProtection="0"/>
    <xf numFmtId="0" fontId="241" fillId="0" borderId="0" applyNumberFormat="0" applyBorder="0" applyAlignment="0" applyProtection="0"/>
    <xf numFmtId="9" fontId="239" fillId="0" borderId="0" applyBorder="0"/>
    <xf numFmtId="0" fontId="241" fillId="0" borderId="0" applyNumberFormat="0" applyBorder="0"/>
    <xf numFmtId="9" fontId="239" fillId="0" borderId="0" applyBorder="0"/>
    <xf numFmtId="9" fontId="239" fillId="0" borderId="0" applyBorder="0"/>
    <xf numFmtId="0" fontId="245" fillId="0" borderId="0" applyNumberFormat="0" applyBorder="0" applyAlignment="0" applyProtection="0"/>
    <xf numFmtId="0" fontId="246" fillId="0" borderId="0" applyNumberFormat="0" applyBorder="0" applyAlignment="0" applyProtection="0"/>
    <xf numFmtId="9" fontId="239" fillId="0" borderId="0" applyFont="0" applyBorder="0"/>
    <xf numFmtId="9" fontId="239" fillId="0" borderId="0" applyFont="0" applyBorder="0"/>
    <xf numFmtId="0" fontId="239" fillId="39" borderId="49" applyNumberFormat="0" applyFont="0" applyProtection="0">
      <alignment horizontal="left"/>
    </xf>
    <xf numFmtId="0" fontId="239" fillId="39" borderId="50" applyNumberFormat="0" applyFont="0" applyAlignment="0" applyProtection="0"/>
    <xf numFmtId="0" fontId="239" fillId="39" borderId="51" applyNumberFormat="0" applyFont="0" applyAlignment="0" applyProtection="0"/>
    <xf numFmtId="0" fontId="239" fillId="39" borderId="52" applyNumberFormat="0" applyFont="0" applyAlignment="0" applyProtection="0"/>
    <xf numFmtId="0" fontId="239" fillId="40" borderId="52" applyNumberFormat="0" applyFont="0" applyProtection="0">
      <alignment horizontal="center" vertical="center"/>
    </xf>
    <xf numFmtId="0" fontId="243" fillId="41" borderId="0" applyNumberFormat="0" applyAlignment="0" applyProtection="0"/>
    <xf numFmtId="0" fontId="242" fillId="42" borderId="0" applyNumberFormat="0" applyBorder="0" applyProtection="0">
      <alignment horizontal="center" wrapText="1"/>
    </xf>
    <xf numFmtId="0" fontId="242" fillId="42" borderId="0" applyNumberFormat="0" applyBorder="0" applyProtection="0">
      <alignment horizontal="center" wrapText="1"/>
    </xf>
    <xf numFmtId="0" fontId="243" fillId="41" borderId="0" applyNumberFormat="0"/>
    <xf numFmtId="0" fontId="239" fillId="41" borderId="49" applyNumberFormat="0">
      <alignment horizontal="left" vertical="center"/>
    </xf>
    <xf numFmtId="0" fontId="239" fillId="41" borderId="50" applyNumberFormat="0">
      <alignment horizontal="center" vertical="center"/>
    </xf>
    <xf numFmtId="0" fontId="239" fillId="41" borderId="51" applyNumberFormat="0">
      <alignment horizontal="center" vertical="center"/>
    </xf>
    <xf numFmtId="0" fontId="239" fillId="41" borderId="49" applyNumberFormat="0" applyFont="0" applyProtection="0">
      <alignment horizontal="left"/>
    </xf>
    <xf numFmtId="0" fontId="239" fillId="41" borderId="50" applyNumberFormat="0" applyFont="0" applyAlignment="0" applyProtection="0"/>
    <xf numFmtId="0" fontId="239" fillId="41" borderId="51" applyNumberFormat="0" applyFont="0" applyAlignment="0" applyProtection="0"/>
    <xf numFmtId="0" fontId="239" fillId="41" borderId="52" applyNumberFormat="0" applyFont="0" applyAlignment="0" applyProtection="0"/>
    <xf numFmtId="0" fontId="239" fillId="39" borderId="49" applyNumberFormat="0" applyFont="0" applyProtection="0">
      <alignment horizontal="left"/>
    </xf>
    <xf numFmtId="0" fontId="239" fillId="39" borderId="50" applyNumberFormat="0" applyFont="0" applyAlignment="0" applyProtection="0"/>
    <xf numFmtId="0" fontId="239" fillId="39" borderId="51" applyNumberFormat="0" applyFont="0" applyAlignment="0" applyProtection="0"/>
    <xf numFmtId="0" fontId="239" fillId="39" borderId="52" applyNumberFormat="0" applyFont="0" applyAlignment="0" applyProtection="0"/>
    <xf numFmtId="0" fontId="239" fillId="40" borderId="52" applyNumberFormat="0" applyFont="0" applyProtection="0">
      <alignment horizontal="center" vertical="center"/>
    </xf>
    <xf numFmtId="0" fontId="244" fillId="39" borderId="52" applyNumberFormat="0" applyProtection="0">
      <alignment horizontal="center" vertical="center"/>
    </xf>
    <xf numFmtId="0" fontId="243" fillId="43" borderId="0" applyNumberFormat="0" applyBorder="0" applyAlignment="0" applyProtection="0"/>
    <xf numFmtId="0" fontId="247" fillId="43" borderId="0" applyNumberFormat="0" applyBorder="0" applyProtection="0">
      <alignment horizontal="center"/>
    </xf>
    <xf numFmtId="0" fontId="243" fillId="41" borderId="0" applyNumberFormat="0" applyAlignment="0" applyProtection="0"/>
    <xf numFmtId="0" fontId="239" fillId="41" borderId="49" applyNumberFormat="0">
      <alignment horizontal="left" vertical="center"/>
    </xf>
    <xf numFmtId="0" fontId="239" fillId="41" borderId="50" applyNumberFormat="0">
      <alignment horizontal="center" vertical="center"/>
    </xf>
    <xf numFmtId="0" fontId="239" fillId="41" borderId="51" applyNumberFormat="0">
      <alignment horizontal="center" vertical="center"/>
    </xf>
    <xf numFmtId="0" fontId="239" fillId="41" borderId="52" applyNumberFormat="0">
      <alignment horizontal="center" vertical="center"/>
    </xf>
    <xf numFmtId="0" fontId="239" fillId="44" borderId="49" applyNumberFormat="0">
      <alignment horizontal="left" vertical="center"/>
    </xf>
    <xf numFmtId="0" fontId="239" fillId="44" borderId="50" applyNumberFormat="0">
      <alignment horizontal="center" vertical="center"/>
    </xf>
    <xf numFmtId="0" fontId="239" fillId="44" borderId="51" applyNumberFormat="0">
      <alignment horizontal="center" vertical="center"/>
    </xf>
    <xf numFmtId="0" fontId="239" fillId="44" borderId="52" applyNumberFormat="0">
      <alignment horizontal="center" vertical="center"/>
    </xf>
    <xf numFmtId="0" fontId="239" fillId="40" borderId="52" applyNumberFormat="0">
      <alignment horizontal="center" vertical="center"/>
    </xf>
    <xf numFmtId="0" fontId="243" fillId="41" borderId="0" applyNumberFormat="0" applyAlignment="0" applyProtection="0"/>
    <xf numFmtId="0" fontId="248" fillId="45" borderId="0" applyNumberFormat="0" applyBorder="0" applyAlignment="0" applyProtection="0"/>
    <xf numFmtId="0" fontId="239" fillId="41" borderId="53" applyNumberFormat="0" applyFont="0" applyProtection="0">
      <alignment horizontal="left" vertical="center"/>
    </xf>
    <xf numFmtId="0" fontId="239" fillId="41" borderId="53" applyNumberFormat="0" applyFont="0" applyProtection="0">
      <alignment horizontal="left" vertical="center"/>
    </xf>
    <xf numFmtId="0" fontId="239" fillId="41" borderId="54" applyNumberFormat="0" applyProtection="0">
      <alignment horizontal="center" vertical="center"/>
    </xf>
    <xf numFmtId="0" fontId="239" fillId="41" borderId="54" applyNumberFormat="0" applyProtection="0">
      <alignment horizontal="center" vertical="center"/>
    </xf>
    <xf numFmtId="0" fontId="239" fillId="41" borderId="55" applyNumberFormat="0" applyProtection="0">
      <alignment horizontal="center" vertical="center"/>
    </xf>
    <xf numFmtId="0" fontId="239" fillId="41" borderId="55" applyNumberFormat="0" applyProtection="0">
      <alignment horizontal="center" vertical="center"/>
    </xf>
    <xf numFmtId="0" fontId="239" fillId="41" borderId="56" applyNumberFormat="0" applyProtection="0">
      <alignment horizontal="center" vertical="center"/>
    </xf>
    <xf numFmtId="0" fontId="239" fillId="41" borderId="56" applyNumberFormat="0" applyProtection="0">
      <alignment horizontal="center" vertical="center"/>
    </xf>
    <xf numFmtId="0" fontId="239" fillId="46" borderId="53" applyNumberFormat="0" applyFont="0" applyProtection="0">
      <alignment horizontal="left" vertical="center"/>
    </xf>
    <xf numFmtId="0" fontId="239" fillId="46" borderId="53" applyNumberFormat="0" applyFont="0" applyProtection="0">
      <alignment horizontal="left" vertical="center"/>
    </xf>
    <xf numFmtId="0" fontId="239" fillId="46" borderId="54" applyNumberFormat="0" applyFont="0" applyProtection="0">
      <alignment horizontal="center" vertical="center"/>
    </xf>
    <xf numFmtId="0" fontId="239" fillId="46" borderId="54" applyNumberFormat="0" applyFont="0" applyProtection="0">
      <alignment horizontal="center" vertical="center"/>
    </xf>
    <xf numFmtId="0" fontId="239" fillId="46" borderId="55" applyNumberFormat="0" applyFont="0" applyProtection="0">
      <alignment horizontal="center" vertical="center"/>
    </xf>
    <xf numFmtId="0" fontId="239" fillId="46" borderId="55" applyNumberFormat="0" applyFont="0" applyProtection="0">
      <alignment horizontal="center" vertical="center"/>
    </xf>
    <xf numFmtId="0" fontId="239" fillId="46" borderId="56" applyNumberFormat="0" applyFont="0" applyProtection="0">
      <alignment horizontal="center" vertical="center"/>
    </xf>
    <xf numFmtId="0" fontId="239" fillId="46" borderId="56" applyNumberFormat="0" applyFont="0" applyProtection="0">
      <alignment horizontal="center" vertical="center"/>
    </xf>
    <xf numFmtId="0" fontId="239" fillId="45" borderId="56" applyNumberFormat="0" applyFont="0" applyProtection="0">
      <alignment horizontal="center" vertical="center"/>
    </xf>
    <xf numFmtId="0" fontId="239" fillId="45" borderId="56" applyNumberFormat="0" applyFont="0" applyProtection="0">
      <alignment horizontal="center" vertical="center"/>
    </xf>
    <xf numFmtId="0" fontId="244" fillId="41" borderId="56" applyNumberFormat="0" applyProtection="0">
      <alignment horizontal="center" vertical="center"/>
    </xf>
    <xf numFmtId="0" fontId="244" fillId="46" borderId="56" applyNumberFormat="0" applyProtection="0">
      <alignment horizontal="center" vertical="center"/>
    </xf>
    <xf numFmtId="0" fontId="242" fillId="42" borderId="0" applyNumberFormat="0" applyBorder="0" applyProtection="0">
      <alignment horizontal="center" wrapText="1"/>
    </xf>
    <xf numFmtId="0" fontId="239" fillId="41" borderId="49" applyNumberFormat="0">
      <alignment horizontal="left" vertical="center"/>
    </xf>
    <xf numFmtId="0" fontId="239" fillId="41" borderId="50" applyNumberFormat="0">
      <alignment horizontal="center" vertical="center"/>
    </xf>
    <xf numFmtId="0" fontId="239" fillId="41" borderId="51" applyNumberFormat="0">
      <alignment horizontal="center" vertical="center"/>
    </xf>
    <xf numFmtId="0" fontId="239" fillId="41" borderId="52" applyNumberFormat="0">
      <alignment horizontal="center" vertical="center"/>
    </xf>
    <xf numFmtId="0" fontId="239" fillId="44" borderId="49" applyNumberFormat="0">
      <alignment horizontal="left" vertical="center"/>
    </xf>
    <xf numFmtId="0" fontId="239" fillId="44" borderId="50" applyNumberFormat="0">
      <alignment horizontal="center" vertical="center"/>
    </xf>
    <xf numFmtId="0" fontId="239" fillId="44" borderId="51" applyNumberFormat="0">
      <alignment horizontal="center" vertical="center"/>
    </xf>
    <xf numFmtId="0" fontId="239" fillId="44" borderId="52" applyNumberFormat="0">
      <alignment horizontal="center" vertical="center"/>
    </xf>
    <xf numFmtId="0" fontId="239" fillId="40" borderId="52" applyNumberFormat="0">
      <alignment horizontal="center" vertical="center"/>
    </xf>
    <xf numFmtId="0" fontId="239" fillId="41" borderId="49" applyNumberFormat="0" applyFont="0" applyProtection="0">
      <alignment horizontal="left" vertical="center"/>
    </xf>
    <xf numFmtId="0" fontId="239" fillId="41" borderId="49" applyNumberFormat="0" applyFont="0" applyProtection="0">
      <alignment horizontal="left" vertical="center"/>
    </xf>
    <xf numFmtId="0" fontId="239" fillId="41" borderId="50" applyNumberFormat="0" applyProtection="0">
      <alignment horizontal="center" vertical="center"/>
    </xf>
    <xf numFmtId="0" fontId="239" fillId="41" borderId="50" applyNumberFormat="0" applyProtection="0">
      <alignment horizontal="center" vertical="center"/>
    </xf>
    <xf numFmtId="0" fontId="239" fillId="41" borderId="51" applyNumberFormat="0" applyProtection="0">
      <alignment horizontal="center" vertical="center"/>
    </xf>
    <xf numFmtId="0" fontId="239" fillId="41" borderId="51" applyNumberFormat="0" applyProtection="0">
      <alignment horizontal="center" vertical="center"/>
    </xf>
    <xf numFmtId="0" fontId="239" fillId="41" borderId="52" applyNumberFormat="0" applyProtection="0">
      <alignment horizontal="center" vertical="center"/>
    </xf>
    <xf numFmtId="0" fontId="239" fillId="41" borderId="52" applyNumberFormat="0" applyProtection="0">
      <alignment horizontal="center" vertical="center"/>
    </xf>
    <xf numFmtId="0" fontId="239" fillId="39" borderId="49" applyNumberFormat="0" applyFont="0" applyProtection="0">
      <alignment horizontal="left" vertical="center"/>
    </xf>
    <xf numFmtId="0" fontId="239" fillId="39" borderId="49" applyNumberFormat="0" applyFont="0" applyProtection="0">
      <alignment horizontal="left" vertical="center"/>
    </xf>
    <xf numFmtId="0" fontId="239" fillId="39" borderId="50" applyNumberFormat="0" applyProtection="0">
      <alignment horizontal="center" vertical="center"/>
    </xf>
    <xf numFmtId="0" fontId="239" fillId="39" borderId="50" applyNumberFormat="0" applyProtection="0">
      <alignment horizontal="center" vertical="center"/>
    </xf>
    <xf numFmtId="0" fontId="239" fillId="39" borderId="51" applyNumberFormat="0" applyProtection="0">
      <alignment horizontal="center" vertical="center"/>
    </xf>
    <xf numFmtId="0" fontId="239" fillId="39" borderId="51" applyNumberFormat="0" applyProtection="0">
      <alignment horizontal="center" vertical="center"/>
    </xf>
    <xf numFmtId="0" fontId="239" fillId="39" borderId="52" applyNumberFormat="0" applyProtection="0">
      <alignment horizontal="center" vertical="center"/>
    </xf>
    <xf numFmtId="0" fontId="239" fillId="39" borderId="52" applyNumberFormat="0" applyProtection="0">
      <alignment horizontal="center" vertical="center"/>
    </xf>
    <xf numFmtId="0" fontId="239" fillId="40" borderId="52" applyNumberFormat="0" applyFont="0" applyProtection="0">
      <alignment horizontal="center" vertical="center"/>
    </xf>
    <xf numFmtId="0" fontId="239" fillId="40" borderId="52" applyNumberFormat="0" applyFont="0" applyProtection="0">
      <alignment horizontal="center" vertical="center"/>
    </xf>
    <xf numFmtId="0" fontId="244" fillId="41" borderId="52" applyNumberFormat="0" applyProtection="0">
      <alignment horizontal="center" vertical="center"/>
    </xf>
    <xf numFmtId="0" fontId="244" fillId="39" borderId="52" applyNumberFormat="0" applyProtection="0">
      <alignment horizontal="center" vertical="center"/>
    </xf>
    <xf numFmtId="0" fontId="242" fillId="42" borderId="0" applyNumberFormat="0" applyBorder="0">
      <alignment horizontal="center" wrapText="1"/>
    </xf>
    <xf numFmtId="0" fontId="243" fillId="41" borderId="0" applyNumberFormat="0"/>
    <xf numFmtId="0" fontId="239" fillId="41" borderId="49" applyNumberFormat="0">
      <alignment horizontal="left" vertical="center"/>
    </xf>
    <xf numFmtId="0" fontId="239" fillId="41" borderId="50" applyNumberFormat="0">
      <alignment horizontal="center" vertical="center"/>
    </xf>
    <xf numFmtId="0" fontId="239" fillId="41" borderId="51" applyNumberFormat="0">
      <alignment horizontal="center" vertical="center"/>
    </xf>
    <xf numFmtId="0" fontId="239" fillId="41" borderId="52" applyNumberFormat="0">
      <alignment horizontal="center" vertical="center"/>
    </xf>
    <xf numFmtId="0" fontId="239" fillId="44" borderId="49" applyNumberFormat="0">
      <alignment horizontal="left" vertical="center"/>
    </xf>
    <xf numFmtId="0" fontId="239" fillId="44" borderId="50" applyNumberFormat="0">
      <alignment horizontal="center" vertical="center"/>
    </xf>
    <xf numFmtId="0" fontId="239" fillId="44" borderId="51" applyNumberFormat="0">
      <alignment horizontal="center" vertical="center"/>
    </xf>
    <xf numFmtId="0" fontId="239" fillId="44" borderId="52" applyNumberFormat="0">
      <alignment horizontal="center" vertical="center"/>
    </xf>
    <xf numFmtId="0" fontId="239" fillId="40" borderId="52" applyNumberFormat="0">
      <alignment horizontal="center" vertical="center"/>
    </xf>
    <xf numFmtId="0" fontId="239" fillId="41" borderId="49" applyNumberFormat="0">
      <alignment horizontal="left" vertical="center"/>
    </xf>
    <xf numFmtId="0" fontId="239" fillId="41" borderId="50" applyNumberFormat="0">
      <alignment horizontal="center" vertical="center"/>
    </xf>
    <xf numFmtId="0" fontId="239" fillId="41" borderId="51" applyNumberFormat="0">
      <alignment horizontal="center" vertical="center"/>
    </xf>
    <xf numFmtId="0" fontId="239" fillId="41" borderId="52" applyNumberFormat="0">
      <alignment horizontal="center" vertical="center"/>
    </xf>
    <xf numFmtId="0" fontId="239" fillId="44" borderId="49" applyNumberFormat="0">
      <alignment horizontal="left" vertical="center"/>
    </xf>
    <xf numFmtId="0" fontId="239" fillId="44" borderId="50" applyNumberFormat="0">
      <alignment horizontal="center" vertical="center"/>
    </xf>
    <xf numFmtId="0" fontId="239" fillId="44" borderId="51" applyNumberFormat="0">
      <alignment horizontal="center" vertical="center"/>
    </xf>
    <xf numFmtId="0" fontId="239" fillId="44" borderId="52" applyNumberFormat="0">
      <alignment horizontal="center" vertical="center"/>
    </xf>
    <xf numFmtId="0" fontId="239" fillId="40" borderId="52" applyNumberFormat="0">
      <alignment horizontal="center" vertical="center"/>
    </xf>
    <xf numFmtId="0" fontId="239" fillId="41" borderId="50" applyNumberFormat="0" applyFont="0"/>
    <xf numFmtId="0" fontId="239" fillId="39" borderId="50" applyNumberFormat="0" applyFont="0"/>
    <xf numFmtId="0" fontId="249" fillId="43" borderId="0" applyNumberFormat="0" applyBorder="0" applyAlignment="0" applyProtection="0"/>
    <xf numFmtId="0" fontId="249" fillId="43" borderId="0" applyNumberFormat="0" applyBorder="0" applyAlignment="0" applyProtection="0"/>
    <xf numFmtId="0" fontId="249" fillId="43" borderId="0" applyNumberFormat="0" applyBorder="0" applyAlignment="0" applyProtection="0"/>
    <xf numFmtId="0" fontId="242" fillId="42" borderId="0" applyNumberFormat="0" applyBorder="0">
      <alignment horizontal="center" wrapText="1"/>
    </xf>
    <xf numFmtId="0" fontId="242" fillId="42" borderId="0" applyNumberFormat="0" applyBorder="0">
      <alignment horizontal="center" wrapText="1"/>
    </xf>
    <xf numFmtId="0" fontId="239" fillId="41" borderId="49" applyNumberFormat="0"/>
    <xf numFmtId="0" fontId="239" fillId="41" borderId="50" applyNumberFormat="0"/>
    <xf numFmtId="0" fontId="239" fillId="41" borderId="51" applyNumberFormat="0"/>
    <xf numFmtId="0" fontId="239" fillId="41" borderId="52" applyNumberFormat="0"/>
    <xf numFmtId="0" fontId="239" fillId="39" borderId="49" applyNumberFormat="0"/>
    <xf numFmtId="0" fontId="239" fillId="39" borderId="50" applyNumberFormat="0"/>
    <xf numFmtId="0" fontId="239" fillId="39" borderId="51" applyNumberFormat="0"/>
    <xf numFmtId="0" fontId="239" fillId="39" borderId="52" applyNumberFormat="0"/>
    <xf numFmtId="0" fontId="239" fillId="41" borderId="49" applyNumberFormat="0"/>
    <xf numFmtId="0" fontId="239" fillId="41" borderId="50" applyNumberFormat="0"/>
    <xf numFmtId="0" fontId="239" fillId="41" borderId="51" applyNumberFormat="0"/>
    <xf numFmtId="0" fontId="239" fillId="41" borderId="52" applyNumberFormat="0"/>
    <xf numFmtId="0" fontId="239" fillId="44" borderId="49" applyNumberFormat="0"/>
    <xf numFmtId="0" fontId="239" fillId="44" borderId="50" applyNumberFormat="0"/>
    <xf numFmtId="0" fontId="239" fillId="44" borderId="51" applyNumberFormat="0"/>
    <xf numFmtId="0" fontId="239" fillId="44" borderId="52" applyNumberFormat="0"/>
    <xf numFmtId="0" fontId="242" fillId="42" borderId="0" applyNumberFormat="0" applyBorder="0">
      <alignment horizontal="center" wrapText="1"/>
    </xf>
    <xf numFmtId="0" fontId="239" fillId="41" borderId="49" applyNumberFormat="0">
      <alignment horizontal="left"/>
    </xf>
    <xf numFmtId="0" fontId="239" fillId="41" borderId="50" applyNumberFormat="0"/>
    <xf numFmtId="0" fontId="239" fillId="41" borderId="51" applyNumberFormat="0"/>
    <xf numFmtId="0" fontId="239" fillId="41" borderId="52" applyNumberFormat="0"/>
    <xf numFmtId="0" fontId="239" fillId="44" borderId="49" applyNumberFormat="0">
      <alignment horizontal="left"/>
    </xf>
    <xf numFmtId="0" fontId="239" fillId="44" borderId="50" applyNumberFormat="0"/>
    <xf numFmtId="0" fontId="239" fillId="44" borderId="51" applyNumberFormat="0"/>
    <xf numFmtId="0" fontId="239" fillId="44" borderId="52" applyNumberFormat="0"/>
    <xf numFmtId="0" fontId="242" fillId="42" borderId="0" applyNumberFormat="0" applyBorder="0" applyProtection="0">
      <alignment horizontal="center" wrapText="1"/>
    </xf>
    <xf numFmtId="0" fontId="242" fillId="42" borderId="0" applyNumberFormat="0" applyBorder="0">
      <alignment horizontal="center" wrapText="1"/>
    </xf>
    <xf numFmtId="0" fontId="239" fillId="41" borderId="49" applyNumberFormat="0" applyFont="0" applyProtection="0">
      <alignment horizontal="left"/>
    </xf>
    <xf numFmtId="0" fontId="239" fillId="41" borderId="50" applyNumberFormat="0" applyFont="0" applyAlignment="0" applyProtection="0"/>
    <xf numFmtId="0" fontId="239" fillId="41" borderId="51" applyNumberFormat="0" applyFont="0" applyAlignment="0" applyProtection="0"/>
    <xf numFmtId="0" fontId="239" fillId="41" borderId="52" applyNumberFormat="0" applyFont="0" applyAlignment="0" applyProtection="0"/>
    <xf numFmtId="0" fontId="239" fillId="39" borderId="49" applyNumberFormat="0" applyFont="0" applyProtection="0">
      <alignment horizontal="left"/>
    </xf>
    <xf numFmtId="0" fontId="239" fillId="39" borderId="50" applyNumberFormat="0" applyFont="0" applyAlignment="0" applyProtection="0"/>
    <xf numFmtId="0" fontId="239" fillId="39" borderId="51" applyNumberFormat="0" applyFont="0" applyAlignment="0" applyProtection="0"/>
    <xf numFmtId="0" fontId="239" fillId="39" borderId="52" applyNumberFormat="0" applyFont="0" applyAlignment="0" applyProtection="0"/>
    <xf numFmtId="0" fontId="239" fillId="40" borderId="52" applyNumberFormat="0" applyFont="0" applyProtection="0">
      <alignment horizontal="center" vertical="center"/>
    </xf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43" fillId="41" borderId="0" applyNumberFormat="0" applyAlignment="0" applyProtection="0"/>
    <xf numFmtId="0" fontId="242" fillId="42" borderId="0" applyNumberFormat="0" applyBorder="0" applyProtection="0">
      <alignment horizontal="center" wrapText="1"/>
    </xf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43" fillId="41" borderId="0" applyNumberFormat="0"/>
    <xf numFmtId="0" fontId="239" fillId="41" borderId="49" applyNumberFormat="0">
      <alignment horizontal="left" vertical="center"/>
    </xf>
    <xf numFmtId="0" fontId="239" fillId="41" borderId="50" applyNumberFormat="0">
      <alignment horizontal="center" vertical="center"/>
    </xf>
    <xf numFmtId="0" fontId="239" fillId="41" borderId="51" applyNumberFormat="0">
      <alignment horizontal="center" vertical="center"/>
    </xf>
    <xf numFmtId="0" fontId="239" fillId="41" borderId="52" applyNumberFormat="0">
      <alignment horizontal="center" vertical="center"/>
    </xf>
    <xf numFmtId="0" fontId="239" fillId="44" borderId="49" applyNumberFormat="0">
      <alignment horizontal="left" vertical="center"/>
    </xf>
    <xf numFmtId="0" fontId="239" fillId="44" borderId="50" applyNumberFormat="0">
      <alignment horizontal="center" vertical="center"/>
    </xf>
    <xf numFmtId="0" fontId="239" fillId="44" borderId="51" applyNumberFormat="0">
      <alignment horizontal="center" vertical="center"/>
    </xf>
    <xf numFmtId="0" fontId="239" fillId="44" borderId="52" applyNumberFormat="0">
      <alignment horizontal="center" vertical="center"/>
    </xf>
    <xf numFmtId="0" fontId="239" fillId="40" borderId="52" applyNumberFormat="0">
      <alignment horizontal="center" vertical="center"/>
    </xf>
    <xf numFmtId="0" fontId="242" fillId="42" borderId="0" applyNumberFormat="0" applyBorder="0">
      <alignment horizontal="center" wrapText="1"/>
    </xf>
    <xf numFmtId="0" fontId="239" fillId="41" borderId="49" applyNumberFormat="0" applyFont="0" applyProtection="0">
      <alignment horizontal="left"/>
    </xf>
    <xf numFmtId="0" fontId="239" fillId="41" borderId="50" applyNumberFormat="0" applyFont="0" applyAlignment="0" applyProtection="0"/>
    <xf numFmtId="0" fontId="239" fillId="41" borderId="51" applyNumberFormat="0" applyFont="0" applyAlignment="0" applyProtection="0"/>
    <xf numFmtId="0" fontId="239" fillId="41" borderId="5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 applyFont="0" applyFill="0" applyBorder="0" applyAlignment="0" applyProtection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84" fontId="28" fillId="0" borderId="0"/>
    <xf numFmtId="176" fontId="28" fillId="0" borderId="0" applyBorder="0"/>
    <xf numFmtId="174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36" fillId="51" borderId="0" applyNumberFormat="0" applyBorder="0"/>
    <xf numFmtId="184" fontId="36" fillId="40" borderId="0" applyNumberFormat="0" applyBorder="0"/>
    <xf numFmtId="184" fontId="36" fillId="40" borderId="0" applyNumberFormat="0" applyBorder="0"/>
    <xf numFmtId="184" fontId="36" fillId="45" borderId="0" applyNumberFormat="0" applyBorder="0"/>
    <xf numFmtId="184" fontId="36" fillId="51" borderId="0" applyNumberFormat="0" applyBorder="0"/>
    <xf numFmtId="184" fontId="36" fillId="49" borderId="0" applyNumberFormat="0" applyBorder="0"/>
    <xf numFmtId="184" fontId="36" fillId="51" borderId="0" applyNumberFormat="0" applyBorder="0"/>
    <xf numFmtId="184" fontId="36" fillId="43" borderId="0" applyNumberFormat="0" applyBorder="0"/>
    <xf numFmtId="184" fontId="36" fillId="52" borderId="0" applyNumberFormat="0" applyBorder="0"/>
    <xf numFmtId="184" fontId="36" fillId="53" borderId="0" applyNumberFormat="0" applyBorder="0"/>
    <xf numFmtId="184" fontId="36" fillId="51" borderId="0" applyNumberFormat="0" applyBorder="0"/>
    <xf numFmtId="184" fontId="36" fillId="54" borderId="0" applyNumberFormat="0" applyBorder="0"/>
    <xf numFmtId="176" fontId="28" fillId="0" borderId="0" applyBorder="0"/>
    <xf numFmtId="174" fontId="28" fillId="0" borderId="0" applyBorder="0"/>
    <xf numFmtId="175" fontId="28" fillId="0" borderId="0" applyBorder="0"/>
    <xf numFmtId="173" fontId="28" fillId="0" borderId="0" applyBorder="0"/>
    <xf numFmtId="184" fontId="28" fillId="0" borderId="0"/>
    <xf numFmtId="176" fontId="28" fillId="0" borderId="0" applyBorder="0"/>
    <xf numFmtId="174" fontId="28" fillId="0" borderId="0" applyBorder="0"/>
    <xf numFmtId="175" fontId="28" fillId="0" borderId="0" applyBorder="0"/>
    <xf numFmtId="173" fontId="28" fillId="0" borderId="0" applyBorder="0"/>
    <xf numFmtId="9" fontId="28" fillId="0" borderId="0" applyBorder="0"/>
    <xf numFmtId="9" fontId="28" fillId="0" borderId="0" applyBorder="0"/>
    <xf numFmtId="9" fontId="28" fillId="0" borderId="0" applyBorder="0"/>
    <xf numFmtId="9" fontId="28" fillId="0" borderId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184" fontId="28" fillId="57" borderId="53" applyNumberFormat="0"/>
    <xf numFmtId="9" fontId="28" fillId="0" borderId="0" applyBorder="0"/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3" fillId="41" borderId="52" applyNumberFormat="0">
      <alignment horizontal="center" vertical="center"/>
    </xf>
    <xf numFmtId="184" fontId="33" fillId="44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3" fillId="41" borderId="52" applyNumberFormat="0">
      <alignment horizontal="center" vertical="center"/>
    </xf>
    <xf numFmtId="184" fontId="33" fillId="44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/>
    <xf numFmtId="184" fontId="28" fillId="46" borderId="50" applyNumberFormat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6" borderId="49" applyNumberFormat="0"/>
    <xf numFmtId="184" fontId="28" fillId="46" borderId="50" applyNumberFormat="0"/>
    <xf numFmtId="184" fontId="28" fillId="46" borderId="51" applyNumberFormat="0"/>
    <xf numFmtId="184" fontId="28" fillId="46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Protection="0">
      <alignment horizontal="center" vertical="center"/>
    </xf>
    <xf numFmtId="184" fontId="28" fillId="46" borderId="55" applyNumberFormat="0" applyProtection="0">
      <alignment horizontal="center" vertical="center"/>
    </xf>
    <xf numFmtId="184" fontId="28" fillId="46" borderId="56" applyNumberForma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37" fillId="45" borderId="0" applyNumberFormat="0" applyBorder="0" applyAlignment="0" applyProtection="0"/>
    <xf numFmtId="184" fontId="37" fillId="45" borderId="0" applyNumberFormat="0" applyBorder="0" applyAlignment="0" applyProtection="0"/>
    <xf numFmtId="184" fontId="37" fillId="45" borderId="0" applyNumberFormat="0" applyBorder="0" applyAlignment="0" applyProtection="0"/>
    <xf numFmtId="176" fontId="28" fillId="0" borderId="0" applyBorder="0"/>
    <xf numFmtId="174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184" fontId="29" fillId="0" borderId="0" applyNumberFormat="0" applyBorder="0"/>
    <xf numFmtId="184" fontId="30" fillId="0" borderId="0" applyNumberFormat="0" applyBorder="0"/>
    <xf numFmtId="184" fontId="29" fillId="0" borderId="0" applyNumberFormat="0" applyBorder="0"/>
    <xf numFmtId="184" fontId="30" fillId="0" borderId="0" applyNumberFormat="0" applyBorder="0"/>
    <xf numFmtId="184" fontId="29" fillId="0" borderId="0" applyNumberFormat="0" applyBorder="0"/>
    <xf numFmtId="184" fontId="30" fillId="0" borderId="0" applyNumberFormat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31" fillId="42" borderId="0" applyNumberFormat="0" applyBorder="0" applyProtection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0" fontId="28" fillId="0" borderId="0"/>
    <xf numFmtId="0" fontId="28" fillId="0" borderId="0"/>
    <xf numFmtId="176" fontId="28" fillId="0" borderId="0" applyBorder="0"/>
    <xf numFmtId="174" fontId="28" fillId="0" borderId="0" applyBorder="0"/>
    <xf numFmtId="169" fontId="28" fillId="0" borderId="0" applyBorder="0"/>
    <xf numFmtId="167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29" fillId="0" borderId="0" applyNumberFormat="0" applyBorder="0" applyAlignment="0" applyProtection="0"/>
    <xf numFmtId="0" fontId="30" fillId="0" borderId="0" applyNumberFormat="0" applyBorder="0" applyAlignment="0" applyProtection="0"/>
    <xf numFmtId="9" fontId="28" fillId="0" borderId="0" applyBorder="0"/>
    <xf numFmtId="0" fontId="30" fillId="0" borderId="0" applyNumberFormat="0" applyBorder="0"/>
    <xf numFmtId="9" fontId="28" fillId="0" borderId="0" applyBorder="0"/>
    <xf numFmtId="9" fontId="28" fillId="0" borderId="0" applyBorder="0"/>
    <xf numFmtId="0" fontId="34" fillId="0" borderId="0" applyNumberFormat="0" applyBorder="0" applyAlignment="0" applyProtection="0"/>
    <xf numFmtId="0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32" fillId="41" borderId="0" applyNumberFormat="0" applyAlignment="0" applyProtection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2" fillId="43" borderId="0" applyNumberFormat="0" applyBorder="0" applyAlignment="0" applyProtection="0"/>
    <xf numFmtId="0" fontId="36" fillId="43" borderId="0" applyNumberFormat="0" applyBorder="0" applyProtection="0">
      <alignment horizontal="center"/>
    </xf>
    <xf numFmtId="0" fontId="32" fillId="41" borderId="0" applyNumberFormat="0" applyAlignment="0" applyProtection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2" fillId="41" borderId="0" applyNumberFormat="0" applyAlignment="0" applyProtection="0"/>
    <xf numFmtId="0" fontId="37" fillId="45" borderId="0" applyNumberFormat="0" applyBorder="0" applyAlignment="0" applyProtection="0"/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28" fillId="46" borderId="53" applyNumberFormat="0" applyFont="0" applyProtection="0">
      <alignment horizontal="left" vertical="center"/>
    </xf>
    <xf numFmtId="0" fontId="28" fillId="46" borderId="54" applyNumberFormat="0" applyFont="0" applyProtection="0">
      <alignment horizontal="center" vertical="center"/>
    </xf>
    <xf numFmtId="0" fontId="28" fillId="46" borderId="54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1" fillId="42" borderId="0" applyNumberFormat="0" applyBorder="0" applyProtection="0">
      <alignment horizontal="center" wrapText="1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33" fillId="41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1" fillId="42" borderId="0" applyNumberFormat="0" applyBorder="0">
      <alignment horizontal="center" wrapText="1"/>
    </xf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50" applyNumberFormat="0" applyFont="0"/>
    <xf numFmtId="0" fontId="28" fillId="39" borderId="50" applyNumberFormat="0" applyFont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/>
    <xf numFmtId="0" fontId="28" fillId="41" borderId="50" applyNumberFormat="0"/>
    <xf numFmtId="0" fontId="28" fillId="41" borderId="51" applyNumberFormat="0"/>
    <xf numFmtId="0" fontId="28" fillId="41" borderId="52" applyNumberFormat="0"/>
    <xf numFmtId="0" fontId="28" fillId="39" borderId="49" applyNumberFormat="0"/>
    <xf numFmtId="0" fontId="28" fillId="39" borderId="50" applyNumberFormat="0"/>
    <xf numFmtId="0" fontId="28" fillId="39" borderId="51" applyNumberFormat="0"/>
    <xf numFmtId="0" fontId="28" fillId="39" borderId="52" applyNumberFormat="0"/>
    <xf numFmtId="0" fontId="28" fillId="41" borderId="49" applyNumberFormat="0"/>
    <xf numFmtId="0" fontId="28" fillId="41" borderId="50" applyNumberFormat="0"/>
    <xf numFmtId="0" fontId="28" fillId="41" borderId="51" applyNumberFormat="0"/>
    <xf numFmtId="0" fontId="28" fillId="41" borderId="52" applyNumberFormat="0"/>
    <xf numFmtId="0" fontId="28" fillId="44" borderId="49" applyNumberFormat="0"/>
    <xf numFmtId="0" fontId="28" fillId="44" borderId="50" applyNumberFormat="0"/>
    <xf numFmtId="0" fontId="28" fillId="44" borderId="51" applyNumberFormat="0"/>
    <xf numFmtId="0" fontId="28" fillId="44" borderId="52" applyNumberFormat="0"/>
    <xf numFmtId="0" fontId="31" fillId="42" borderId="0" applyNumberFormat="0" applyBorder="0">
      <alignment horizontal="center" wrapText="1"/>
    </xf>
    <xf numFmtId="0" fontId="28" fillId="41" borderId="49" applyNumberFormat="0">
      <alignment horizontal="left"/>
    </xf>
    <xf numFmtId="0" fontId="28" fillId="41" borderId="50" applyNumberFormat="0"/>
    <xf numFmtId="0" fontId="28" fillId="41" borderId="51" applyNumberFormat="0"/>
    <xf numFmtId="0" fontId="28" fillId="41" borderId="52" applyNumberFormat="0"/>
    <xf numFmtId="0" fontId="28" fillId="44" borderId="49" applyNumberFormat="0">
      <alignment horizontal="left"/>
    </xf>
    <xf numFmtId="0" fontId="28" fillId="44" borderId="50" applyNumberFormat="0"/>
    <xf numFmtId="0" fontId="28" fillId="44" borderId="51" applyNumberFormat="0"/>
    <xf numFmtId="0" fontId="28" fillId="44" borderId="52" applyNumberFormat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32" fillId="41" borderId="0" applyNumberFormat="0" applyAlignment="0" applyProtection="0"/>
    <xf numFmtId="0" fontId="31" fillId="42" borderId="0" applyNumberFormat="0" applyBorder="0" applyProtection="0">
      <alignment horizontal="center" wrapText="1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1" fillId="42" borderId="0" applyNumberFormat="0" applyBorder="0">
      <alignment horizontal="center" wrapText="1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187" fillId="46" borderId="0" applyNumberFormat="0" applyBorder="0"/>
    <xf numFmtId="0" fontId="187" fillId="40" borderId="0" applyNumberFormat="0" applyBorder="0"/>
    <xf numFmtId="0" fontId="187" fillId="40" borderId="0" applyNumberFormat="0" applyBorder="0"/>
    <xf numFmtId="0" fontId="187" fillId="46" borderId="0" applyNumberFormat="0" applyBorder="0"/>
    <xf numFmtId="0" fontId="187" fillId="48" borderId="0" applyNumberFormat="0" applyBorder="0"/>
    <xf numFmtId="0" fontId="187" fillId="49" borderId="0" applyNumberFormat="0" applyBorder="0"/>
    <xf numFmtId="0" fontId="187" fillId="46" borderId="0" applyNumberFormat="0" applyBorder="0"/>
    <xf numFmtId="0" fontId="187" fillId="40" borderId="0" applyNumberFormat="0" applyBorder="0"/>
    <xf numFmtId="0" fontId="187" fillId="40" borderId="0" applyNumberFormat="0" applyBorder="0"/>
    <xf numFmtId="0" fontId="187" fillId="46" borderId="0" applyNumberFormat="0" applyBorder="0"/>
    <xf numFmtId="0" fontId="187" fillId="50" borderId="0" applyNumberFormat="0" applyBorder="0"/>
    <xf numFmtId="0" fontId="187" fillId="49" borderId="0" applyNumberFormat="0" applyBorder="0"/>
    <xf numFmtId="0" fontId="36" fillId="51" borderId="0" applyNumberFormat="0" applyBorder="0"/>
    <xf numFmtId="0" fontId="36" fillId="40" borderId="0" applyNumberFormat="0" applyBorder="0"/>
    <xf numFmtId="0" fontId="36" fillId="40" borderId="0" applyNumberFormat="0" applyBorder="0"/>
    <xf numFmtId="0" fontId="36" fillId="45" borderId="0" applyNumberFormat="0" applyBorder="0"/>
    <xf numFmtId="0" fontId="36" fillId="51" borderId="0" applyNumberFormat="0" applyBorder="0"/>
    <xf numFmtId="0" fontId="36" fillId="49" borderId="0" applyNumberFormat="0" applyBorder="0"/>
    <xf numFmtId="0" fontId="36" fillId="51" borderId="0" applyNumberFormat="0" applyBorder="0"/>
    <xf numFmtId="0" fontId="36" fillId="43" borderId="0" applyNumberFormat="0" applyBorder="0"/>
    <xf numFmtId="0" fontId="36" fillId="52" borderId="0" applyNumberFormat="0" applyBorder="0"/>
    <xf numFmtId="0" fontId="36" fillId="53" borderId="0" applyNumberFormat="0" applyBorder="0"/>
    <xf numFmtId="0" fontId="36" fillId="51" borderId="0" applyNumberFormat="0" applyBorder="0"/>
    <xf numFmtId="0" fontId="36" fillId="54" borderId="0" applyNumberFormat="0" applyBorder="0"/>
    <xf numFmtId="0" fontId="189" fillId="55" borderId="0" applyNumberFormat="0" applyBorder="0"/>
    <xf numFmtId="0" fontId="190" fillId="46" borderId="61" applyNumberFormat="0"/>
    <xf numFmtId="0" fontId="180" fillId="45" borderId="62" applyNumberFormat="0"/>
    <xf numFmtId="176" fontId="28" fillId="0" borderId="0" applyBorder="0"/>
    <xf numFmtId="174" fontId="28" fillId="0" borderId="0" applyBorder="0"/>
    <xf numFmtId="175" fontId="28" fillId="0" borderId="0" applyBorder="0"/>
    <xf numFmtId="173" fontId="28" fillId="0" borderId="0" applyBorder="0"/>
    <xf numFmtId="0" fontId="191" fillId="0" borderId="0" applyNumberFormat="0" applyBorder="0"/>
    <xf numFmtId="176" fontId="28" fillId="0" borderId="0" applyBorder="0"/>
    <xf numFmtId="174" fontId="28" fillId="0" borderId="0" applyBorder="0"/>
    <xf numFmtId="175" fontId="28" fillId="0" borderId="0" applyBorder="0"/>
    <xf numFmtId="173" fontId="28" fillId="0" borderId="0" applyBorder="0"/>
    <xf numFmtId="0" fontId="182" fillId="0" borderId="0" applyNumberFormat="0" applyBorder="0"/>
    <xf numFmtId="0" fontId="183" fillId="0" borderId="0" applyNumberFormat="0" applyBorder="0"/>
    <xf numFmtId="0" fontId="182" fillId="0" borderId="0" applyNumberFormat="0" applyBorder="0"/>
    <xf numFmtId="0" fontId="183" fillId="0" borderId="0" applyNumberFormat="0" applyBorder="0"/>
    <xf numFmtId="0" fontId="182" fillId="0" borderId="0" applyNumberFormat="0" applyBorder="0"/>
    <xf numFmtId="0" fontId="183" fillId="0" borderId="0" applyNumberFormat="0" applyBorder="0"/>
    <xf numFmtId="0" fontId="182" fillId="0" borderId="0" applyNumberFormat="0" applyBorder="0"/>
    <xf numFmtId="0" fontId="183" fillId="0" borderId="0" applyNumberFormat="0" applyBorder="0"/>
    <xf numFmtId="0" fontId="182" fillId="0" borderId="0" applyNumberFormat="0" applyBorder="0"/>
    <xf numFmtId="0" fontId="183" fillId="0" borderId="0" applyNumberFormat="0" applyBorder="0"/>
    <xf numFmtId="9" fontId="28" fillId="0" borderId="0" applyBorder="0"/>
    <xf numFmtId="0" fontId="29" fillId="0" borderId="0" applyNumberFormat="0" applyBorder="0"/>
    <xf numFmtId="0" fontId="192" fillId="56" borderId="0" applyNumberFormat="0" applyBorder="0"/>
    <xf numFmtId="0" fontId="193" fillId="0" borderId="63" applyNumberFormat="0"/>
    <xf numFmtId="0" fontId="194" fillId="0" borderId="63" applyNumberFormat="0"/>
    <xf numFmtId="0" fontId="195" fillId="0" borderId="64" applyNumberFormat="0"/>
    <xf numFmtId="0" fontId="195" fillId="0" borderId="0" applyNumberFormat="0" applyBorder="0"/>
    <xf numFmtId="0" fontId="30" fillId="0" borderId="0" applyNumberFormat="0" applyBorder="0"/>
    <xf numFmtId="0" fontId="196" fillId="49" borderId="61" applyNumberFormat="0"/>
    <xf numFmtId="0" fontId="197" fillId="0" borderId="65" applyNumberFormat="0"/>
    <xf numFmtId="0" fontId="198" fillId="57" borderId="0" applyNumberFormat="0" applyBorder="0"/>
    <xf numFmtId="0" fontId="28" fillId="57" borderId="53" applyNumberFormat="0"/>
    <xf numFmtId="0" fontId="199" fillId="46" borderId="66" applyNumberFormat="0"/>
    <xf numFmtId="9" fontId="28" fillId="0" borderId="0" applyBorder="0"/>
    <xf numFmtId="0" fontId="31" fillId="42" borderId="0" applyNumberFormat="0" applyBorder="0">
      <alignment horizontal="center" wrapText="1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3" fillId="41" borderId="52" applyNumberFormat="0">
      <alignment horizontal="center" vertical="center"/>
    </xf>
    <xf numFmtId="0" fontId="33" fillId="44" borderId="52" applyNumberFormat="0">
      <alignment horizontal="center" vertical="center"/>
    </xf>
    <xf numFmtId="0" fontId="31" fillId="42" borderId="0" applyNumberFormat="0" applyBorder="0">
      <alignment horizontal="center" wrapText="1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3" fillId="41" borderId="52" applyNumberFormat="0">
      <alignment horizontal="center" vertical="center"/>
    </xf>
    <xf numFmtId="0" fontId="33" fillId="44" borderId="52" applyNumberFormat="0">
      <alignment horizontal="center" vertical="center"/>
    </xf>
    <xf numFmtId="0" fontId="28" fillId="41" borderId="50" applyNumberFormat="0"/>
    <xf numFmtId="0" fontId="28" fillId="46" borderId="50" applyNumberFormat="0"/>
    <xf numFmtId="0" fontId="28" fillId="46" borderId="49" applyNumberFormat="0"/>
    <xf numFmtId="0" fontId="28" fillId="46" borderId="50" applyNumberFormat="0"/>
    <xf numFmtId="0" fontId="28" fillId="46" borderId="51" applyNumberFormat="0"/>
    <xf numFmtId="0" fontId="28" fillId="46" borderId="52" applyNumberFormat="0"/>
    <xf numFmtId="0" fontId="28" fillId="46" borderId="0" applyNumberFormat="0" applyBorder="0"/>
    <xf numFmtId="0" fontId="200" fillId="0" borderId="0" applyNumberFormat="0" applyBorder="0"/>
    <xf numFmtId="0" fontId="201" fillId="0" borderId="67" applyNumberFormat="0"/>
    <xf numFmtId="0" fontId="202" fillId="0" borderId="0" applyNumberFormat="0" applyBorder="0"/>
    <xf numFmtId="0" fontId="32" fillId="43" borderId="0" applyNumberFormat="0" applyBorder="0" applyAlignment="0" applyProtection="0"/>
    <xf numFmtId="0" fontId="36" fillId="43" borderId="0" applyNumberFormat="0" applyBorder="0" applyProtection="0">
      <alignment horizontal="center"/>
    </xf>
    <xf numFmtId="0" fontId="184" fillId="43" borderId="0" applyNumberFormat="0" applyBorder="0" applyAlignment="0" applyProtection="0"/>
    <xf numFmtId="0" fontId="37" fillId="45" borderId="0" applyNumberFormat="0" applyBorder="0" applyAlignment="0" applyProtection="0"/>
    <xf numFmtId="0" fontId="28" fillId="41" borderId="53" applyNumberFormat="0" applyFont="0" applyProtection="0">
      <alignment horizontal="left" vertical="center"/>
    </xf>
    <xf numFmtId="0" fontId="28" fillId="41" borderId="54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28" fillId="46" borderId="54" applyNumberFormat="0" applyProtection="0">
      <alignment horizontal="center" vertical="center"/>
    </xf>
    <xf numFmtId="0" fontId="28" fillId="46" borderId="55" applyNumberFormat="0" applyProtection="0">
      <alignment horizontal="center" vertical="center"/>
    </xf>
    <xf numFmtId="0" fontId="28" fillId="46" borderId="56" applyNumberForma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2" fillId="41" borderId="0" applyNumberFormat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176" fontId="28" fillId="0" borderId="0" applyBorder="0"/>
    <xf numFmtId="174" fontId="28" fillId="0" borderId="0" applyBorder="0"/>
    <xf numFmtId="169" fontId="28" fillId="0" borderId="0" applyBorder="0"/>
    <xf numFmtId="167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29" fillId="0" borderId="0" applyNumberFormat="0" applyBorder="0" applyAlignment="0" applyProtection="0"/>
    <xf numFmtId="0" fontId="30" fillId="0" borderId="0" applyNumberFormat="0" applyBorder="0" applyAlignment="0" applyProtection="0"/>
    <xf numFmtId="9" fontId="28" fillId="0" borderId="0" applyBorder="0"/>
    <xf numFmtId="0" fontId="30" fillId="0" borderId="0" applyNumberFormat="0" applyBorder="0"/>
    <xf numFmtId="9" fontId="28" fillId="0" borderId="0" applyBorder="0"/>
    <xf numFmtId="9" fontId="28" fillId="0" borderId="0" applyBorder="0"/>
    <xf numFmtId="0" fontId="34" fillId="0" borderId="0" applyNumberFormat="0" applyBorder="0" applyAlignment="0" applyProtection="0"/>
    <xf numFmtId="0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32" fillId="41" borderId="0" applyNumberFormat="0" applyAlignment="0" applyProtection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2" fillId="43" borderId="0" applyNumberFormat="0" applyBorder="0" applyAlignment="0" applyProtection="0"/>
    <xf numFmtId="0" fontId="36" fillId="43" borderId="0" applyNumberFormat="0" applyBorder="0" applyProtection="0">
      <alignment horizontal="center"/>
    </xf>
    <xf numFmtId="0" fontId="32" fillId="41" borderId="0" applyNumberFormat="0" applyAlignment="0" applyProtection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2" fillId="41" borderId="0" applyNumberFormat="0" applyAlignment="0" applyProtection="0"/>
    <xf numFmtId="0" fontId="37" fillId="45" borderId="0" applyNumberFormat="0" applyBorder="0" applyAlignment="0" applyProtection="0"/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28" fillId="46" borderId="53" applyNumberFormat="0" applyFont="0" applyProtection="0">
      <alignment horizontal="left" vertical="center"/>
    </xf>
    <xf numFmtId="0" fontId="28" fillId="46" borderId="54" applyNumberFormat="0" applyFont="0" applyProtection="0">
      <alignment horizontal="center" vertical="center"/>
    </xf>
    <xf numFmtId="0" fontId="28" fillId="46" borderId="54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1" fillId="42" borderId="0" applyNumberFormat="0" applyBorder="0" applyProtection="0">
      <alignment horizontal="center" wrapText="1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33" fillId="41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1" fillId="42" borderId="0" applyNumberFormat="0" applyBorder="0">
      <alignment horizontal="center" wrapText="1"/>
    </xf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50" applyNumberFormat="0" applyFont="0"/>
    <xf numFmtId="0" fontId="28" fillId="39" borderId="50" applyNumberFormat="0" applyFont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/>
    <xf numFmtId="0" fontId="28" fillId="41" borderId="50" applyNumberFormat="0"/>
    <xf numFmtId="0" fontId="28" fillId="41" borderId="51" applyNumberFormat="0"/>
    <xf numFmtId="0" fontId="28" fillId="41" borderId="52" applyNumberFormat="0"/>
    <xf numFmtId="0" fontId="28" fillId="39" borderId="49" applyNumberFormat="0"/>
    <xf numFmtId="0" fontId="28" fillId="39" borderId="50" applyNumberFormat="0"/>
    <xf numFmtId="0" fontId="28" fillId="39" borderId="51" applyNumberFormat="0"/>
    <xf numFmtId="0" fontId="28" fillId="39" borderId="52" applyNumberFormat="0"/>
    <xf numFmtId="0" fontId="28" fillId="41" borderId="49" applyNumberFormat="0"/>
    <xf numFmtId="0" fontId="28" fillId="41" borderId="50" applyNumberFormat="0"/>
    <xf numFmtId="0" fontId="28" fillId="41" borderId="51" applyNumberFormat="0"/>
    <xf numFmtId="0" fontId="28" fillId="41" borderId="52" applyNumberFormat="0"/>
    <xf numFmtId="0" fontId="28" fillId="44" borderId="49" applyNumberFormat="0"/>
    <xf numFmtId="0" fontId="28" fillId="44" borderId="50" applyNumberFormat="0"/>
    <xf numFmtId="0" fontId="28" fillId="44" borderId="51" applyNumberFormat="0"/>
    <xf numFmtId="0" fontId="28" fillId="44" borderId="52" applyNumberFormat="0"/>
    <xf numFmtId="0" fontId="31" fillId="42" borderId="0" applyNumberFormat="0" applyBorder="0">
      <alignment horizontal="center" wrapText="1"/>
    </xf>
    <xf numFmtId="0" fontId="28" fillId="41" borderId="49" applyNumberFormat="0">
      <alignment horizontal="left"/>
    </xf>
    <xf numFmtId="0" fontId="28" fillId="41" borderId="50" applyNumberFormat="0"/>
    <xf numFmtId="0" fontId="28" fillId="41" borderId="51" applyNumberFormat="0"/>
    <xf numFmtId="0" fontId="28" fillId="41" borderId="52" applyNumberFormat="0"/>
    <xf numFmtId="0" fontId="28" fillId="44" borderId="49" applyNumberFormat="0">
      <alignment horizontal="left"/>
    </xf>
    <xf numFmtId="0" fontId="28" fillId="44" borderId="50" applyNumberFormat="0"/>
    <xf numFmtId="0" fontId="28" fillId="44" borderId="51" applyNumberFormat="0"/>
    <xf numFmtId="0" fontId="28" fillId="44" borderId="52" applyNumberFormat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32" fillId="41" borderId="0" applyNumberFormat="0" applyAlignment="0" applyProtection="0"/>
    <xf numFmtId="0" fontId="31" fillId="42" borderId="0" applyNumberFormat="0" applyBorder="0" applyProtection="0">
      <alignment horizontal="center" wrapText="1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1" fillId="42" borderId="0" applyNumberFormat="0" applyBorder="0">
      <alignment horizontal="center" wrapText="1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1" fillId="0" borderId="0"/>
    <xf numFmtId="0" fontId="252" fillId="46" borderId="0" applyNumberFormat="0" applyBorder="0"/>
    <xf numFmtId="0" fontId="252" fillId="40" borderId="0" applyNumberFormat="0" applyBorder="0"/>
    <xf numFmtId="0" fontId="252" fillId="40" borderId="0" applyNumberFormat="0" applyBorder="0"/>
    <xf numFmtId="0" fontId="252" fillId="46" borderId="0" applyNumberFormat="0" applyBorder="0"/>
    <xf numFmtId="0" fontId="252" fillId="48" borderId="0" applyNumberFormat="0" applyBorder="0"/>
    <xf numFmtId="0" fontId="252" fillId="49" borderId="0" applyNumberFormat="0" applyBorder="0"/>
    <xf numFmtId="0" fontId="252" fillId="46" borderId="0" applyNumberFormat="0" applyBorder="0"/>
    <xf numFmtId="0" fontId="252" fillId="40" borderId="0" applyNumberFormat="0" applyBorder="0"/>
    <xf numFmtId="0" fontId="252" fillId="40" borderId="0" applyNumberFormat="0" applyBorder="0"/>
    <xf numFmtId="0" fontId="252" fillId="46" borderId="0" applyNumberFormat="0" applyBorder="0"/>
    <xf numFmtId="0" fontId="252" fillId="50" borderId="0" applyNumberFormat="0" applyBorder="0"/>
    <xf numFmtId="0" fontId="252" fillId="49" borderId="0" applyNumberFormat="0" applyBorder="0"/>
    <xf numFmtId="0" fontId="253" fillId="51" borderId="0" applyNumberFormat="0" applyBorder="0"/>
    <xf numFmtId="0" fontId="253" fillId="40" borderId="0" applyNumberFormat="0" applyBorder="0"/>
    <xf numFmtId="0" fontId="253" fillId="40" borderId="0" applyNumberFormat="0" applyBorder="0"/>
    <xf numFmtId="0" fontId="253" fillId="45" borderId="0" applyNumberFormat="0" applyBorder="0"/>
    <xf numFmtId="0" fontId="253" fillId="51" borderId="0" applyNumberFormat="0" applyBorder="0"/>
    <xf numFmtId="0" fontId="253" fillId="49" borderId="0" applyNumberFormat="0" applyBorder="0"/>
    <xf numFmtId="0" fontId="253" fillId="51" borderId="0" applyNumberFormat="0" applyBorder="0"/>
    <xf numFmtId="0" fontId="253" fillId="43" borderId="0" applyNumberFormat="0" applyBorder="0"/>
    <xf numFmtId="0" fontId="253" fillId="52" borderId="0" applyNumberFormat="0" applyBorder="0"/>
    <xf numFmtId="0" fontId="253" fillId="53" borderId="0" applyNumberFormat="0" applyBorder="0"/>
    <xf numFmtId="0" fontId="253" fillId="51" borderId="0" applyNumberFormat="0" applyBorder="0"/>
    <xf numFmtId="0" fontId="253" fillId="54" borderId="0" applyNumberFormat="0" applyBorder="0"/>
    <xf numFmtId="0" fontId="254" fillId="55" borderId="0" applyNumberFormat="0" applyBorder="0"/>
    <xf numFmtId="0" fontId="255" fillId="46" borderId="61" applyNumberFormat="0"/>
    <xf numFmtId="0" fontId="256" fillId="45" borderId="62" applyNumberFormat="0"/>
    <xf numFmtId="176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76" fontId="28" fillId="0" borderId="0" applyFont="0" applyFill="0" applyBorder="0" applyAlignment="0" applyProtection="0"/>
    <xf numFmtId="187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176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189" fontId="28" fillId="0" borderId="0" applyFont="0" applyFill="0" applyBorder="0" applyAlignment="0" applyProtection="0"/>
    <xf numFmtId="190" fontId="28" fillId="0" borderId="0" applyFont="0" applyFill="0" applyBorder="0" applyAlignment="0" applyProtection="0"/>
    <xf numFmtId="190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0" fontId="257" fillId="0" borderId="0" applyNumberFormat="0" applyBorder="0"/>
    <xf numFmtId="0" fontId="28" fillId="0" borderId="0"/>
    <xf numFmtId="0" fontId="28" fillId="0" borderId="0"/>
    <xf numFmtId="0" fontId="28" fillId="0" borderId="0"/>
    <xf numFmtId="0" fontId="28" fillId="0" borderId="0"/>
    <xf numFmtId="43" fontId="28" fillId="0" borderId="0" applyBorder="0"/>
    <xf numFmtId="41" fontId="28" fillId="0" borderId="0" applyBorder="0"/>
    <xf numFmtId="44" fontId="28" fillId="0" borderId="0" applyBorder="0"/>
    <xf numFmtId="42" fontId="28" fillId="0" borderId="0" applyBorder="0"/>
    <xf numFmtId="0" fontId="29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29" fillId="0" borderId="0" applyNumberFormat="0" applyBorder="0" applyAlignment="0" applyProtection="0"/>
    <xf numFmtId="0" fontId="29" fillId="0" borderId="0" applyNumberFormat="0" applyBorder="0" applyAlignment="0" applyProtection="0"/>
    <xf numFmtId="0" fontId="29" fillId="0" borderId="0" applyNumberFormat="0" applyBorder="0" applyAlignment="0" applyProtection="0"/>
    <xf numFmtId="0" fontId="30" fillId="0" borderId="0" applyNumberFormat="0" applyBorder="0" applyAlignment="0" applyProtection="0"/>
    <xf numFmtId="0" fontId="30" fillId="0" borderId="0" applyNumberFormat="0" applyBorder="0" applyAlignment="0" applyProtection="0"/>
    <xf numFmtId="0" fontId="30" fillId="0" borderId="0" applyNumberFormat="0" applyBorder="0" applyAlignment="0" applyProtection="0"/>
    <xf numFmtId="0" fontId="30" fillId="0" borderId="0" applyNumberFormat="0" applyBorder="0"/>
    <xf numFmtId="0" fontId="30" fillId="0" borderId="0" applyNumberFormat="0" applyBorder="0"/>
    <xf numFmtId="43" fontId="28" fillId="0" borderId="0" applyBorder="0"/>
    <xf numFmtId="41" fontId="28" fillId="0" borderId="0" applyBorder="0"/>
    <xf numFmtId="44" fontId="28" fillId="0" borderId="0" applyBorder="0"/>
    <xf numFmtId="42" fontId="28" fillId="0" borderId="0" applyBorder="0"/>
    <xf numFmtId="0" fontId="34" fillId="0" borderId="0" applyNumberFormat="0" applyBorder="0" applyAlignment="0" applyProtection="0"/>
    <xf numFmtId="0" fontId="34" fillId="0" borderId="0" applyNumberFormat="0" applyBorder="0" applyAlignment="0" applyProtection="0"/>
    <xf numFmtId="0" fontId="34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9" fontId="28" fillId="0" borderId="0" applyBorder="0"/>
    <xf numFmtId="0" fontId="258" fillId="56" borderId="0" applyNumberFormat="0" applyBorder="0"/>
    <xf numFmtId="0" fontId="259" fillId="0" borderId="63" applyNumberFormat="0"/>
    <xf numFmtId="0" fontId="260" fillId="0" borderId="63" applyNumberFormat="0"/>
    <xf numFmtId="0" fontId="195" fillId="0" borderId="64" applyNumberFormat="0"/>
    <xf numFmtId="0" fontId="261" fillId="0" borderId="64" applyNumberFormat="0"/>
    <xf numFmtId="0" fontId="261" fillId="0" borderId="0" applyNumberFormat="0" applyBorder="0"/>
    <xf numFmtId="0" fontId="262" fillId="49" borderId="61" applyNumberFormat="0"/>
    <xf numFmtId="191" fontId="1" fillId="0" borderId="0" applyFont="0" applyFill="0" applyBorder="0" applyAlignment="0" applyProtection="0"/>
    <xf numFmtId="191" fontId="1" fillId="0" borderId="0" applyFont="0" applyFill="0" applyBorder="0" applyAlignment="0" applyProtection="0"/>
    <xf numFmtId="191" fontId="1" fillId="0" borderId="0" applyFont="0" applyFill="0" applyBorder="0" applyAlignment="0" applyProtection="0"/>
    <xf numFmtId="191" fontId="1" fillId="0" borderId="0" applyFont="0" applyFill="0" applyBorder="0" applyAlignment="0" applyProtection="0"/>
    <xf numFmtId="192" fontId="28" fillId="0" borderId="0" applyFont="0" applyFill="0" applyBorder="0" applyAlignment="0" applyProtection="0"/>
    <xf numFmtId="176" fontId="263" fillId="0" borderId="0" applyFont="0" applyFill="0" applyBorder="0" applyAlignment="0" applyProtection="0"/>
    <xf numFmtId="43" fontId="252" fillId="0" borderId="0" applyFont="0" applyFill="0" applyBorder="0" applyAlignment="0" applyProtection="0"/>
    <xf numFmtId="0" fontId="264" fillId="0" borderId="65" applyNumberFormat="0"/>
    <xf numFmtId="0" fontId="198" fillId="57" borderId="0" applyNumberFormat="0" applyBorder="0"/>
    <xf numFmtId="0" fontId="265" fillId="57" borderId="0" applyNumberFormat="0" applyBorder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66" fillId="46" borderId="66" applyNumberFormat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6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5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6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8" fillId="0" borderId="0"/>
    <xf numFmtId="0" fontId="28" fillId="0" borderId="0"/>
    <xf numFmtId="0" fontId="1" fillId="0" borderId="0"/>
    <xf numFmtId="0" fontId="1" fillId="0" borderId="0"/>
    <xf numFmtId="0" fontId="28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2" fillId="0" borderId="0"/>
    <xf numFmtId="0" fontId="269" fillId="0" borderId="0"/>
    <xf numFmtId="0" fontId="269" fillId="0" borderId="0"/>
    <xf numFmtId="0" fontId="269" fillId="0" borderId="0"/>
    <xf numFmtId="0" fontId="28" fillId="0" borderId="0"/>
    <xf numFmtId="0" fontId="269" fillId="0" borderId="0"/>
    <xf numFmtId="0" fontId="28" fillId="0" borderId="0"/>
    <xf numFmtId="0" fontId="269" fillId="0" borderId="0"/>
    <xf numFmtId="0" fontId="28" fillId="0" borderId="0"/>
    <xf numFmtId="0" fontId="252" fillId="0" borderId="0"/>
    <xf numFmtId="0" fontId="269" fillId="0" borderId="0"/>
    <xf numFmtId="0" fontId="28" fillId="0" borderId="0"/>
    <xf numFmtId="0" fontId="28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9" fillId="0" borderId="0"/>
    <xf numFmtId="0" fontId="269" fillId="0" borderId="0"/>
    <xf numFmtId="0" fontId="1" fillId="0" borderId="0"/>
    <xf numFmtId="0" fontId="1" fillId="0" borderId="0"/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32" fillId="41" borderId="0" applyNumberFormat="0" applyAlignment="0" applyProtection="0"/>
    <xf numFmtId="0" fontId="32" fillId="41" borderId="0" applyNumberFormat="0" applyAlignment="0" applyProtection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2" fillId="41" borderId="0" applyNumberFormat="0"/>
    <xf numFmtId="0" fontId="32" fillId="41" borderId="0" applyNumberFormat="0"/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61" fillId="0" borderId="75" applyNumberFormat="0"/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195" fillId="0" borderId="75" applyNumberFormat="0"/>
    <xf numFmtId="0" fontId="33" fillId="39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6" fillId="43" borderId="0" applyNumberFormat="0" applyBorder="0" applyProtection="0">
      <alignment horizontal="center"/>
    </xf>
    <xf numFmtId="0" fontId="36" fillId="43" borderId="0" applyNumberFormat="0" applyBorder="0" applyProtection="0">
      <alignment horizontal="center"/>
    </xf>
    <xf numFmtId="0" fontId="32" fillId="41" borderId="0" applyNumberFormat="0" applyAlignment="0" applyProtection="0"/>
    <xf numFmtId="0" fontId="32" fillId="41" borderId="0" applyNumberFormat="0" applyAlignment="0" applyProtection="0"/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2" fillId="41" borderId="0" applyNumberFormat="0" applyAlignment="0" applyProtection="0"/>
    <xf numFmtId="0" fontId="32" fillId="41" borderId="0" applyNumberFormat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2" fillId="43" borderId="0" applyNumberFormat="0" applyBorder="0" applyAlignment="0" applyProtection="0"/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36" fillId="43" borderId="0" applyNumberFormat="0" applyBorder="0" applyProtection="0">
      <alignment horizont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184" fillId="43" borderId="0" applyNumberFormat="0" applyBorder="0" applyAlignment="0" applyProtection="0"/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184" fillId="43" borderId="0" applyNumberFormat="0" applyBorder="0" applyAlignment="0" applyProtection="0"/>
    <xf numFmtId="0" fontId="28" fillId="41" borderId="56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32" fillId="43" borderId="0" applyNumberFormat="0" applyBorder="0" applyAlignment="0" applyProtection="0"/>
    <xf numFmtId="0" fontId="28" fillId="46" borderId="53" applyNumberFormat="0" applyFont="0" applyProtection="0">
      <alignment horizontal="left" vertical="center"/>
    </xf>
    <xf numFmtId="0" fontId="28" fillId="46" borderId="53" applyNumberFormat="0" applyFont="0" applyProtection="0">
      <alignment horizontal="left" vertical="center"/>
    </xf>
    <xf numFmtId="0" fontId="28" fillId="46" borderId="53" applyNumberFormat="0" applyFont="0" applyProtection="0">
      <alignment horizontal="left" vertical="center"/>
    </xf>
    <xf numFmtId="0" fontId="28" fillId="46" borderId="53" applyNumberFormat="0" applyFont="0" applyProtection="0">
      <alignment horizontal="left" vertical="center"/>
    </xf>
    <xf numFmtId="0" fontId="28" fillId="46" borderId="53" applyNumberFormat="0" applyFont="0" applyProtection="0">
      <alignment horizontal="left" vertical="center"/>
    </xf>
    <xf numFmtId="0" fontId="36" fillId="43" borderId="0" applyNumberFormat="0" applyBorder="0" applyProtection="0">
      <alignment horizontal="center"/>
    </xf>
    <xf numFmtId="0" fontId="28" fillId="46" borderId="54" applyNumberFormat="0" applyFont="0" applyProtection="0">
      <alignment horizontal="center" vertical="center"/>
    </xf>
    <xf numFmtId="0" fontId="28" fillId="46" borderId="54" applyNumberFormat="0" applyFont="0" applyProtection="0">
      <alignment horizontal="center" vertical="center"/>
    </xf>
    <xf numFmtId="0" fontId="28" fillId="46" borderId="54" applyNumberFormat="0" applyFont="0" applyProtection="0">
      <alignment horizontal="center" vertical="center"/>
    </xf>
    <xf numFmtId="0" fontId="28" fillId="46" borderId="54" applyNumberFormat="0" applyFont="0" applyProtection="0">
      <alignment horizontal="center" vertical="center"/>
    </xf>
    <xf numFmtId="0" fontId="28" fillId="46" borderId="54" applyNumberFormat="0" applyFont="0" applyProtection="0">
      <alignment horizontal="center" vertical="center"/>
    </xf>
    <xf numFmtId="0" fontId="184" fillId="43" borderId="0" applyNumberFormat="0" applyBorder="0" applyAlignment="0" applyProtection="0"/>
    <xf numFmtId="0" fontId="28" fillId="46" borderId="55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7" fillId="45" borderId="0" applyNumberFormat="0" applyBorder="0" applyAlignment="0" applyProtection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7" fillId="45" borderId="0" applyNumberFormat="0" applyBorder="0" applyAlignment="0" applyProtection="0"/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37" fillId="45" borderId="0" applyNumberFormat="0" applyBorder="0" applyAlignment="0" applyProtection="0"/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53" applyNumberFormat="0" applyFont="0" applyProtection="0">
      <alignment horizontal="left" vertical="center"/>
    </xf>
    <xf numFmtId="0" fontId="28" fillId="41" borderId="54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28" fillId="46" borderId="54" applyNumberFormat="0" applyProtection="0">
      <alignment horizontal="center" vertical="center"/>
    </xf>
    <xf numFmtId="0" fontId="28" fillId="46" borderId="55" applyNumberFormat="0" applyProtection="0">
      <alignment horizontal="center" vertical="center"/>
    </xf>
    <xf numFmtId="0" fontId="28" fillId="46" borderId="56" applyNumberForma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2" fillId="41" borderId="0" applyNumberFormat="0" applyAlignment="0" applyProtection="0"/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33" fillId="41" borderId="52" applyNumberFormat="0" applyProtection="0">
      <alignment horizontal="center" vertical="center"/>
    </xf>
    <xf numFmtId="0" fontId="33" fillId="41" borderId="52" applyNumberFormat="0" applyProtection="0">
      <alignment horizontal="center" vertical="center"/>
    </xf>
    <xf numFmtId="0" fontId="33" fillId="41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28" fillId="41" borderId="53" applyNumberFormat="0" applyFont="0" applyProtection="0">
      <alignment horizontal="left" vertical="center"/>
    </xf>
    <xf numFmtId="0" fontId="28" fillId="41" borderId="54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6" borderId="55" applyNumberFormat="0" applyProtection="0">
      <alignment horizontal="center" vertical="center"/>
    </xf>
    <xf numFmtId="0" fontId="28" fillId="46" borderId="56" applyNumberForma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33" fillId="46" borderId="56" applyNumberFormat="0" applyProtection="0">
      <alignment horizontal="center" vertical="center"/>
    </xf>
    <xf numFmtId="0" fontId="32" fillId="41" borderId="0" applyNumberFormat="0" applyAlignment="0" applyProtection="0"/>
    <xf numFmtId="0" fontId="28" fillId="41" borderId="53" applyNumberFormat="0" applyFont="0" applyProtection="0">
      <alignment horizontal="left" vertical="center"/>
    </xf>
    <xf numFmtId="0" fontId="28" fillId="41" borderId="54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28" fillId="46" borderId="54" applyNumberFormat="0" applyProtection="0">
      <alignment horizontal="center" vertical="center"/>
    </xf>
    <xf numFmtId="0" fontId="28" fillId="46" borderId="55" applyNumberFormat="0" applyProtection="0">
      <alignment horizontal="center" vertical="center"/>
    </xf>
    <xf numFmtId="0" fontId="28" fillId="46" borderId="56" applyNumberForma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2" fillId="41" borderId="0" applyNumberFormat="0" applyAlignment="0" applyProtection="0"/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2" fillId="41" borderId="0" applyNumberFormat="0"/>
    <xf numFmtId="0" fontId="32" fillId="41" borderId="0" applyNumberFormat="0"/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50" applyNumberFormat="0" applyFont="0"/>
    <xf numFmtId="0" fontId="28" fillId="41" borderId="50" applyNumberFormat="0" applyFont="0"/>
    <xf numFmtId="0" fontId="28" fillId="41" borderId="50" applyNumberFormat="0" applyFont="0"/>
    <xf numFmtId="0" fontId="28" fillId="41" borderId="50" applyNumberFormat="0" applyFont="0"/>
    <xf numFmtId="0" fontId="28" fillId="39" borderId="50" applyNumberFormat="0" applyFont="0"/>
    <xf numFmtId="0" fontId="28" fillId="39" borderId="50" applyNumberFormat="0" applyFont="0"/>
    <xf numFmtId="0" fontId="28" fillId="39" borderId="50" applyNumberFormat="0" applyFont="0"/>
    <xf numFmtId="0" fontId="28" fillId="39" borderId="50" applyNumberFormat="0" applyFont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/>
    <xf numFmtId="0" fontId="28" fillId="41" borderId="49" applyNumberFormat="0"/>
    <xf numFmtId="0" fontId="28" fillId="41" borderId="49" applyNumberFormat="0"/>
    <xf numFmtId="0" fontId="28" fillId="41" borderId="49" applyNumberFormat="0"/>
    <xf numFmtId="0" fontId="28" fillId="41" borderId="50" applyNumberFormat="0"/>
    <xf numFmtId="0" fontId="28" fillId="41" borderId="50" applyNumberFormat="0"/>
    <xf numFmtId="0" fontId="28" fillId="41" borderId="50" applyNumberFormat="0"/>
    <xf numFmtId="0" fontId="28" fillId="41" borderId="50" applyNumberFormat="0"/>
    <xf numFmtId="0" fontId="28" fillId="41" borderId="51" applyNumberFormat="0"/>
    <xf numFmtId="0" fontId="28" fillId="41" borderId="51" applyNumberFormat="0"/>
    <xf numFmtId="0" fontId="28" fillId="41" borderId="51" applyNumberFormat="0"/>
    <xf numFmtId="0" fontId="28" fillId="41" borderId="51" applyNumberFormat="0"/>
    <xf numFmtId="0" fontId="28" fillId="41" borderId="52" applyNumberFormat="0"/>
    <xf numFmtId="0" fontId="28" fillId="41" borderId="52" applyNumberFormat="0"/>
    <xf numFmtId="0" fontId="28" fillId="41" borderId="52" applyNumberFormat="0"/>
    <xf numFmtId="0" fontId="28" fillId="41" borderId="52" applyNumberFormat="0"/>
    <xf numFmtId="0" fontId="28" fillId="39" borderId="49" applyNumberFormat="0"/>
    <xf numFmtId="0" fontId="28" fillId="39" borderId="49" applyNumberFormat="0"/>
    <xf numFmtId="0" fontId="28" fillId="39" borderId="49" applyNumberFormat="0"/>
    <xf numFmtId="0" fontId="28" fillId="39" borderId="49" applyNumberFormat="0"/>
    <xf numFmtId="0" fontId="28" fillId="39" borderId="50" applyNumberFormat="0"/>
    <xf numFmtId="0" fontId="28" fillId="39" borderId="50" applyNumberFormat="0"/>
    <xf numFmtId="0" fontId="28" fillId="39" borderId="50" applyNumberFormat="0"/>
    <xf numFmtId="0" fontId="28" fillId="39" borderId="50" applyNumberFormat="0"/>
    <xf numFmtId="0" fontId="28" fillId="39" borderId="51" applyNumberFormat="0"/>
    <xf numFmtId="0" fontId="28" fillId="39" borderId="51" applyNumberFormat="0"/>
    <xf numFmtId="0" fontId="28" fillId="39" borderId="51" applyNumberFormat="0"/>
    <xf numFmtId="0" fontId="28" fillId="39" borderId="51" applyNumberFormat="0"/>
    <xf numFmtId="0" fontId="28" fillId="39" borderId="52" applyNumberFormat="0"/>
    <xf numFmtId="0" fontId="28" fillId="39" borderId="52" applyNumberFormat="0"/>
    <xf numFmtId="0" fontId="28" fillId="39" borderId="52" applyNumberFormat="0"/>
    <xf numFmtId="0" fontId="28" fillId="39" borderId="52" applyNumberFormat="0"/>
    <xf numFmtId="0" fontId="28" fillId="41" borderId="49" applyNumberFormat="0"/>
    <xf numFmtId="0" fontId="28" fillId="41" borderId="49" applyNumberFormat="0"/>
    <xf numFmtId="0" fontId="28" fillId="41" borderId="49" applyNumberFormat="0"/>
    <xf numFmtId="0" fontId="28" fillId="41" borderId="49" applyNumberFormat="0"/>
    <xf numFmtId="0" fontId="28" fillId="41" borderId="50" applyNumberFormat="0"/>
    <xf numFmtId="0" fontId="28" fillId="41" borderId="50" applyNumberFormat="0"/>
    <xf numFmtId="0" fontId="28" fillId="41" borderId="50" applyNumberFormat="0"/>
    <xf numFmtId="0" fontId="28" fillId="41" borderId="50" applyNumberFormat="0"/>
    <xf numFmtId="0" fontId="28" fillId="41" borderId="51" applyNumberFormat="0"/>
    <xf numFmtId="0" fontId="28" fillId="41" borderId="51" applyNumberFormat="0"/>
    <xf numFmtId="0" fontId="28" fillId="41" borderId="51" applyNumberFormat="0"/>
    <xf numFmtId="0" fontId="28" fillId="41" borderId="51" applyNumberFormat="0"/>
    <xf numFmtId="0" fontId="28" fillId="41" borderId="52" applyNumberFormat="0"/>
    <xf numFmtId="0" fontId="28" fillId="41" borderId="52" applyNumberFormat="0"/>
    <xf numFmtId="0" fontId="28" fillId="41" borderId="52" applyNumberFormat="0"/>
    <xf numFmtId="0" fontId="28" fillId="41" borderId="52" applyNumberFormat="0"/>
    <xf numFmtId="0" fontId="28" fillId="44" borderId="49" applyNumberFormat="0"/>
    <xf numFmtId="0" fontId="28" fillId="44" borderId="49" applyNumberFormat="0"/>
    <xf numFmtId="0" fontId="28" fillId="44" borderId="49" applyNumberFormat="0"/>
    <xf numFmtId="0" fontId="28" fillId="44" borderId="49" applyNumberFormat="0"/>
    <xf numFmtId="0" fontId="28" fillId="44" borderId="50" applyNumberFormat="0"/>
    <xf numFmtId="0" fontId="28" fillId="44" borderId="50" applyNumberFormat="0"/>
    <xf numFmtId="0" fontId="28" fillId="44" borderId="50" applyNumberFormat="0"/>
    <xf numFmtId="0" fontId="28" fillId="44" borderId="50" applyNumberFormat="0"/>
    <xf numFmtId="0" fontId="28" fillId="44" borderId="51" applyNumberFormat="0"/>
    <xf numFmtId="0" fontId="28" fillId="44" borderId="51" applyNumberFormat="0"/>
    <xf numFmtId="0" fontId="28" fillId="44" borderId="51" applyNumberFormat="0"/>
    <xf numFmtId="0" fontId="28" fillId="44" borderId="51" applyNumberFormat="0"/>
    <xf numFmtId="0" fontId="28" fillId="44" borderId="52" applyNumberFormat="0"/>
    <xf numFmtId="0" fontId="28" fillId="44" borderId="52" applyNumberFormat="0"/>
    <xf numFmtId="0" fontId="28" fillId="44" borderId="52" applyNumberFormat="0"/>
    <xf numFmtId="0" fontId="28" fillId="44" borderId="52" applyNumberFormat="0"/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>
      <alignment horizontal="left"/>
    </xf>
    <xf numFmtId="0" fontId="28" fillId="41" borderId="49" applyNumberFormat="0">
      <alignment horizontal="left"/>
    </xf>
    <xf numFmtId="0" fontId="28" fillId="41" borderId="49" applyNumberFormat="0">
      <alignment horizontal="left"/>
    </xf>
    <xf numFmtId="0" fontId="28" fillId="41" borderId="49" applyNumberFormat="0">
      <alignment horizontal="left"/>
    </xf>
    <xf numFmtId="0" fontId="28" fillId="41" borderId="50" applyNumberFormat="0"/>
    <xf numFmtId="0" fontId="28" fillId="41" borderId="50" applyNumberFormat="0"/>
    <xf numFmtId="0" fontId="28" fillId="41" borderId="50" applyNumberFormat="0"/>
    <xf numFmtId="0" fontId="28" fillId="41" borderId="50" applyNumberFormat="0"/>
    <xf numFmtId="0" fontId="28" fillId="41" borderId="51" applyNumberFormat="0"/>
    <xf numFmtId="0" fontId="28" fillId="41" borderId="51" applyNumberFormat="0"/>
    <xf numFmtId="0" fontId="28" fillId="41" borderId="51" applyNumberFormat="0"/>
    <xf numFmtId="0" fontId="28" fillId="41" borderId="51" applyNumberFormat="0"/>
    <xf numFmtId="0" fontId="28" fillId="41" borderId="52" applyNumberFormat="0"/>
    <xf numFmtId="0" fontId="28" fillId="41" borderId="52" applyNumberFormat="0"/>
    <xf numFmtId="0" fontId="28" fillId="41" borderId="52" applyNumberFormat="0"/>
    <xf numFmtId="0" fontId="28" fillId="41" borderId="52" applyNumberFormat="0"/>
    <xf numFmtId="0" fontId="28" fillId="44" borderId="49" applyNumberFormat="0">
      <alignment horizontal="left"/>
    </xf>
    <xf numFmtId="0" fontId="28" fillId="44" borderId="49" applyNumberFormat="0">
      <alignment horizontal="left"/>
    </xf>
    <xf numFmtId="0" fontId="28" fillId="44" borderId="49" applyNumberFormat="0">
      <alignment horizontal="left"/>
    </xf>
    <xf numFmtId="0" fontId="28" fillId="44" borderId="49" applyNumberFormat="0">
      <alignment horizontal="left"/>
    </xf>
    <xf numFmtId="0" fontId="28" fillId="44" borderId="50" applyNumberFormat="0"/>
    <xf numFmtId="0" fontId="28" fillId="44" borderId="50" applyNumberFormat="0"/>
    <xf numFmtId="0" fontId="28" fillId="44" borderId="50" applyNumberFormat="0"/>
    <xf numFmtId="0" fontId="28" fillId="44" borderId="50" applyNumberFormat="0"/>
    <xf numFmtId="0" fontId="28" fillId="44" borderId="51" applyNumberFormat="0"/>
    <xf numFmtId="0" fontId="28" fillId="44" borderId="51" applyNumberFormat="0"/>
    <xf numFmtId="0" fontId="28" fillId="44" borderId="51" applyNumberFormat="0"/>
    <xf numFmtId="0" fontId="28" fillId="44" borderId="51" applyNumberFormat="0"/>
    <xf numFmtId="0" fontId="28" fillId="44" borderId="52" applyNumberFormat="0"/>
    <xf numFmtId="0" fontId="28" fillId="44" borderId="52" applyNumberFormat="0"/>
    <xf numFmtId="0" fontId="28" fillId="44" borderId="52" applyNumberFormat="0"/>
    <xf numFmtId="0" fontId="28" fillId="44" borderId="52" applyNumberFormat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32" fillId="41" borderId="0" applyNumberFormat="0" applyAlignment="0" applyProtection="0"/>
    <xf numFmtId="0" fontId="32" fillId="41" borderId="0" applyNumberFormat="0" applyAlignment="0" applyProtection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32" fillId="41" borderId="0" applyNumberFormat="0"/>
    <xf numFmtId="0" fontId="32" fillId="41" borderId="0" applyNumberFormat="0"/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70" fillId="58" borderId="0" applyNumberFormat="0" applyFont="0" applyFill="0" applyBorder="0" applyAlignment="0" applyProtection="0"/>
    <xf numFmtId="0" fontId="270" fillId="58" borderId="73" applyNumberFormat="0" applyFont="0" applyFill="0" applyBorder="0" applyAlignment="0" applyProtection="0"/>
    <xf numFmtId="0" fontId="263" fillId="59" borderId="0" applyNumberFormat="0" applyFont="0" applyFill="0" applyBorder="0" applyAlignment="0" applyProtection="0"/>
    <xf numFmtId="0" fontId="270" fillId="0" borderId="74" applyNumberFormat="0" applyFont="0" applyFill="0" applyBorder="0" applyAlignment="0" applyProtection="0"/>
    <xf numFmtId="0" fontId="270" fillId="0" borderId="74" applyNumberFormat="0" applyFont="0" applyFill="0" applyBorder="0" applyAlignment="0" applyProtection="0"/>
    <xf numFmtId="0" fontId="263" fillId="58" borderId="0" applyNumberFormat="0" applyFont="0" applyFill="0" applyBorder="0" applyAlignment="0" applyProtection="0"/>
    <xf numFmtId="0" fontId="271" fillId="0" borderId="0" applyNumberFormat="0" applyBorder="0"/>
    <xf numFmtId="0" fontId="272" fillId="0" borderId="67" applyNumberFormat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52" fillId="0" borderId="0" applyFont="0" applyFill="0" applyBorder="0" applyAlignment="0" applyProtection="0"/>
    <xf numFmtId="0" fontId="1" fillId="0" borderId="0"/>
    <xf numFmtId="0" fontId="273" fillId="0" borderId="0" applyNumberFormat="0" applyBorder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74" fillId="60" borderId="0" applyNumberFormat="0" applyBorder="0" applyAlignment="0" applyProtection="0"/>
    <xf numFmtId="0" fontId="274" fillId="61" borderId="0" applyNumberFormat="0" applyBorder="0" applyAlignment="0" applyProtection="0"/>
    <xf numFmtId="0" fontId="274" fillId="62" borderId="0" applyNumberFormat="0" applyBorder="0" applyAlignment="0" applyProtection="0"/>
    <xf numFmtId="0" fontId="274" fillId="63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274" fillId="64" borderId="0" applyNumberFormat="0" applyBorder="0" applyAlignment="0" applyProtection="0"/>
    <xf numFmtId="0" fontId="21" fillId="25" borderId="0" applyNumberFormat="0" applyBorder="0" applyAlignment="0" applyProtection="0"/>
    <xf numFmtId="0" fontId="21" fillId="29" borderId="0" applyNumberFormat="0" applyBorder="0" applyAlignment="0" applyProtection="0"/>
    <xf numFmtId="0" fontId="21" fillId="37" borderId="0" applyNumberFormat="0" applyBorder="0" applyAlignment="0" applyProtection="0"/>
    <xf numFmtId="0" fontId="275" fillId="64" borderId="0" applyNumberFormat="0" applyBorder="0" applyAlignment="0" applyProtection="0"/>
    <xf numFmtId="0" fontId="275" fillId="65" borderId="0" applyNumberFormat="0" applyBorder="0" applyAlignment="0" applyProtection="0"/>
    <xf numFmtId="0" fontId="275" fillId="66" borderId="0" applyNumberFormat="0" applyBorder="0" applyAlignment="0" applyProtection="0"/>
    <xf numFmtId="0" fontId="276" fillId="0" borderId="0" applyNumberFormat="0" applyFill="0" applyBorder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26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74" fillId="67" borderId="0" applyNumberFormat="0" applyBorder="0" applyAlignment="0" applyProtection="0"/>
    <xf numFmtId="0" fontId="274" fillId="68" borderId="0" applyNumberFormat="0" applyBorder="0" applyAlignment="0" applyProtection="0"/>
    <xf numFmtId="0" fontId="274" fillId="69" borderId="0" applyNumberFormat="0" applyBorder="0" applyAlignment="0" applyProtection="0"/>
    <xf numFmtId="0" fontId="274" fillId="70" borderId="0" applyNumberFormat="0" applyBorder="0" applyAlignment="0" applyProtection="0"/>
    <xf numFmtId="0" fontId="274" fillId="63" borderId="0" applyNumberFormat="0" applyBorder="0" applyAlignment="0" applyProtection="0"/>
    <xf numFmtId="0" fontId="274" fillId="69" borderId="0" applyNumberFormat="0" applyBorder="0" applyAlignment="0" applyProtection="0"/>
    <xf numFmtId="0" fontId="274" fillId="71" borderId="0" applyNumberFormat="0" applyBorder="0" applyAlignment="0" applyProtection="0"/>
    <xf numFmtId="0" fontId="275" fillId="72" borderId="0" applyNumberFormat="0" applyBorder="0" applyAlignment="0" applyProtection="0"/>
    <xf numFmtId="0" fontId="275" fillId="70" borderId="0" applyNumberFormat="0" applyBorder="0" applyAlignment="0" applyProtection="0"/>
    <xf numFmtId="0" fontId="275" fillId="73" borderId="0" applyNumberFormat="0" applyBorder="0" applyAlignment="0" applyProtection="0"/>
    <xf numFmtId="44" fontId="28" fillId="0" borderId="0" applyFont="0" applyFill="0" applyBorder="0" applyAlignment="0" applyProtection="0"/>
    <xf numFmtId="0" fontId="268" fillId="0" borderId="0"/>
    <xf numFmtId="193" fontId="28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44" fontId="28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270" fillId="58" borderId="76" applyNumberFormat="0" applyFont="0" applyFill="0" applyBorder="0" applyAlignment="0" applyProtection="0"/>
    <xf numFmtId="0" fontId="270" fillId="0" borderId="77" applyNumberFormat="0" applyFont="0" applyFill="0" applyBorder="0" applyAlignment="0" applyProtection="0"/>
    <xf numFmtId="0" fontId="270" fillId="0" borderId="77" applyNumberFormat="0" applyFont="0" applyFill="0" applyBorder="0" applyAlignment="0" applyProtection="0"/>
    <xf numFmtId="189" fontId="1" fillId="0" borderId="0"/>
    <xf numFmtId="189" fontId="253" fillId="74" borderId="0" applyNumberFormat="0" applyBorder="0" applyAlignment="0" applyProtection="0"/>
    <xf numFmtId="189" fontId="253" fillId="75" borderId="0" applyNumberFormat="0" applyBorder="0" applyAlignment="0" applyProtection="0"/>
    <xf numFmtId="189" fontId="253" fillId="76" borderId="0" applyNumberFormat="0" applyBorder="0" applyAlignment="0" applyProtection="0"/>
    <xf numFmtId="189" fontId="253" fillId="65" borderId="0" applyNumberFormat="0" applyBorder="0" applyAlignment="0" applyProtection="0"/>
    <xf numFmtId="189" fontId="253" fillId="73" borderId="0" applyNumberFormat="0" applyBorder="0" applyAlignment="0" applyProtection="0"/>
    <xf numFmtId="189" fontId="253" fillId="77" borderId="0" applyNumberFormat="0" applyBorder="0" applyAlignment="0" applyProtection="0"/>
    <xf numFmtId="189" fontId="277" fillId="78" borderId="78" applyNumberFormat="0" applyAlignment="0" applyProtection="0"/>
    <xf numFmtId="189" fontId="255" fillId="78" borderId="61" applyNumberFormat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89" fontId="262" fillId="68" borderId="61" applyNumberFormat="0" applyAlignment="0" applyProtection="0"/>
    <xf numFmtId="189" fontId="272" fillId="0" borderId="80" applyNumberFormat="0" applyFill="0" applyAlignment="0" applyProtection="0"/>
    <xf numFmtId="189" fontId="257" fillId="0" borderId="0" applyNumberFormat="0" applyFill="0" applyBorder="0" applyAlignment="0" applyProtection="0"/>
    <xf numFmtId="189" fontId="258" fillId="62" borderId="0" applyNumberFormat="0" applyBorder="0" applyAlignment="0" applyProtection="0"/>
    <xf numFmtId="189" fontId="265" fillId="80" borderId="0" applyNumberFormat="0" applyBorder="0" applyAlignment="0" applyProtection="0"/>
    <xf numFmtId="189" fontId="28" fillId="81" borderId="84" applyNumberFormat="0" applyFont="0" applyAlignment="0" applyProtection="0"/>
    <xf numFmtId="189" fontId="278" fillId="61" borderId="0" applyNumberFormat="0" applyBorder="0" applyAlignment="0" applyProtection="0"/>
    <xf numFmtId="189" fontId="28" fillId="0" borderId="0"/>
    <xf numFmtId="189" fontId="1" fillId="0" borderId="0"/>
    <xf numFmtId="0" fontId="268" fillId="0" borderId="0"/>
    <xf numFmtId="189" fontId="280" fillId="0" borderId="81" applyNumberFormat="0" applyFill="0" applyAlignment="0" applyProtection="0"/>
    <xf numFmtId="189" fontId="281" fillId="0" borderId="82" applyNumberFormat="0" applyFill="0" applyAlignment="0" applyProtection="0"/>
    <xf numFmtId="189" fontId="282" fillId="0" borderId="83" applyNumberFormat="0" applyFill="0" applyAlignment="0" applyProtection="0"/>
    <xf numFmtId="189" fontId="282" fillId="0" borderId="0" applyNumberFormat="0" applyFill="0" applyBorder="0" applyAlignment="0" applyProtection="0"/>
    <xf numFmtId="189" fontId="279" fillId="0" borderId="0" applyNumberFormat="0" applyFill="0" applyBorder="0" applyAlignment="0" applyProtection="0"/>
    <xf numFmtId="189" fontId="264" fillId="0" borderId="65" applyNumberFormat="0" applyFill="0" applyAlignment="0" applyProtection="0"/>
    <xf numFmtId="189" fontId="273" fillId="0" borderId="0" applyNumberFormat="0" applyFill="0" applyBorder="0" applyAlignment="0" applyProtection="0"/>
    <xf numFmtId="189" fontId="256" fillId="79" borderId="79" applyNumberFormat="0" applyAlignment="0" applyProtection="0"/>
    <xf numFmtId="189" fontId="1" fillId="0" borderId="0"/>
    <xf numFmtId="44" fontId="1" fillId="0" borderId="0" applyFont="0" applyFill="0" applyBorder="0" applyAlignment="0" applyProtection="0"/>
    <xf numFmtId="0" fontId="1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165" fontId="28" fillId="0" borderId="0" applyBorder="0"/>
    <xf numFmtId="165" fontId="28" fillId="0" borderId="0" applyBorder="0"/>
    <xf numFmtId="165" fontId="28" fillId="0" borderId="0" applyBorder="0"/>
    <xf numFmtId="165" fontId="28" fillId="0" borderId="0" applyBorder="0"/>
    <xf numFmtId="164" fontId="28" fillId="0" borderId="0" applyBorder="0"/>
    <xf numFmtId="164" fontId="28" fillId="0" borderId="0" applyBorder="0"/>
    <xf numFmtId="164" fontId="28" fillId="0" borderId="0" applyBorder="0"/>
    <xf numFmtId="164" fontId="28" fillId="0" borderId="0" applyBorder="0"/>
    <xf numFmtId="44" fontId="28" fillId="0" borderId="0" applyBorder="0"/>
    <xf numFmtId="42" fontId="28" fillId="0" borderId="0" applyBorder="0"/>
    <xf numFmtId="44" fontId="28" fillId="0" borderId="0" applyBorder="0"/>
    <xf numFmtId="42" fontId="28" fillId="0" borderId="0" applyBorder="0"/>
    <xf numFmtId="165" fontId="26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5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30">
    <xf numFmtId="184" fontId="0" fillId="0" borderId="0" xfId="0"/>
    <xf numFmtId="184" fontId="2" fillId="0" borderId="0" xfId="0" applyFont="1"/>
    <xf numFmtId="184" fontId="0" fillId="0" borderId="0" xfId="0" applyAlignment="1">
      <alignment vertical="center" wrapText="1"/>
    </xf>
    <xf numFmtId="184" fontId="2" fillId="0" borderId="0" xfId="0" applyFont="1" applyAlignment="1" applyProtection="1">
      <alignment horizontal="center"/>
      <protection locked="0"/>
    </xf>
    <xf numFmtId="184" fontId="0" fillId="0" borderId="0" xfId="0" applyAlignment="1" applyProtection="1">
      <alignment horizontal="center"/>
      <protection locked="0"/>
    </xf>
    <xf numFmtId="184" fontId="0" fillId="0" borderId="0" xfId="0" applyProtection="1">
      <protection locked="0"/>
    </xf>
    <xf numFmtId="2" fontId="0" fillId="0" borderId="0" xfId="0" applyNumberFormat="1"/>
    <xf numFmtId="1" fontId="0" fillId="0" borderId="0" xfId="0" applyNumberFormat="1"/>
    <xf numFmtId="184" fontId="6" fillId="0" borderId="0" xfId="0" applyFont="1" applyAlignment="1">
      <alignment horizontal="center"/>
    </xf>
    <xf numFmtId="184" fontId="6" fillId="0" borderId="0" xfId="0" applyFont="1"/>
    <xf numFmtId="4" fontId="0" fillId="0" borderId="0" xfId="0" applyNumberFormat="1" applyProtection="1">
      <protection locked="0"/>
    </xf>
    <xf numFmtId="184" fontId="1" fillId="0" borderId="0" xfId="86"/>
    <xf numFmtId="184" fontId="3" fillId="4" borderId="6" xfId="0" applyFont="1" applyFill="1" applyBorder="1" applyAlignment="1">
      <alignment horizontal="center"/>
    </xf>
    <xf numFmtId="184" fontId="3" fillId="4" borderId="8" xfId="0" applyFont="1" applyFill="1" applyBorder="1" applyAlignment="1">
      <alignment horizontal="center"/>
    </xf>
    <xf numFmtId="1" fontId="0" fillId="0" borderId="0" xfId="0" applyNumberFormat="1" applyAlignment="1" applyProtection="1">
      <alignment horizontal="center"/>
      <protection locked="0"/>
    </xf>
    <xf numFmtId="184" fontId="0" fillId="0" borderId="0" xfId="0" applyAlignment="1">
      <alignment wrapText="1"/>
    </xf>
    <xf numFmtId="184" fontId="25" fillId="0" borderId="0" xfId="0" applyFont="1" applyAlignment="1">
      <alignment horizontal="center"/>
    </xf>
    <xf numFmtId="184" fontId="24" fillId="0" borderId="0" xfId="0" applyFont="1" applyAlignment="1">
      <alignment wrapText="1"/>
    </xf>
    <xf numFmtId="184" fontId="3" fillId="4" borderId="7" xfId="0" applyFont="1" applyFill="1" applyBorder="1" applyAlignment="1">
      <alignment horizontal="center"/>
    </xf>
    <xf numFmtId="184" fontId="3" fillId="6" borderId="0" xfId="0" applyFont="1" applyFill="1" applyAlignment="1">
      <alignment horizontal="center"/>
    </xf>
    <xf numFmtId="184" fontId="0" fillId="6" borderId="0" xfId="0" applyFill="1"/>
    <xf numFmtId="184" fontId="0" fillId="6" borderId="0" xfId="0" applyFill="1" applyAlignment="1" applyProtection="1">
      <alignment horizontal="center"/>
      <protection locked="0"/>
    </xf>
    <xf numFmtId="3" fontId="2" fillId="6" borderId="0" xfId="0" applyNumberFormat="1" applyFont="1" applyFill="1" applyAlignment="1" applyProtection="1">
      <alignment horizontal="center"/>
      <protection locked="0"/>
    </xf>
    <xf numFmtId="184" fontId="0" fillId="6" borderId="0" xfId="0" applyFill="1" applyAlignment="1" applyProtection="1">
      <alignment horizontal="left"/>
      <protection locked="0"/>
    </xf>
    <xf numFmtId="1" fontId="2" fillId="6" borderId="0" xfId="0" applyNumberFormat="1" applyFont="1" applyFill="1" applyAlignment="1" applyProtection="1">
      <alignment horizontal="center"/>
      <protection locked="0"/>
    </xf>
    <xf numFmtId="184" fontId="2" fillId="6" borderId="0" xfId="0" applyFont="1" applyFill="1" applyAlignment="1" applyProtection="1">
      <alignment horizontal="center"/>
      <protection locked="0"/>
    </xf>
    <xf numFmtId="179" fontId="22" fillId="5" borderId="20" xfId="0" applyNumberFormat="1" applyFont="1" applyFill="1" applyBorder="1" applyAlignment="1" applyProtection="1">
      <alignment horizontal="center" vertical="center" wrapText="1"/>
      <protection hidden="1"/>
    </xf>
    <xf numFmtId="184" fontId="0" fillId="0" borderId="0" xfId="0" applyAlignment="1">
      <alignment horizontal="left" vertical="top" wrapText="1"/>
    </xf>
    <xf numFmtId="184" fontId="61" fillId="0" borderId="0" xfId="0" applyFont="1" applyAlignment="1">
      <alignment wrapText="1"/>
    </xf>
    <xf numFmtId="184" fontId="0" fillId="6" borderId="0" xfId="0" applyFill="1" applyAlignment="1" applyProtection="1">
      <alignment vertical="center"/>
      <protection hidden="1"/>
    </xf>
    <xf numFmtId="184" fontId="3" fillId="6" borderId="0" xfId="0" applyFont="1" applyFill="1" applyAlignment="1" applyProtection="1">
      <alignment vertical="center"/>
      <protection hidden="1"/>
    </xf>
    <xf numFmtId="184" fontId="2" fillId="6" borderId="0" xfId="0" applyFont="1" applyFill="1" applyAlignment="1" applyProtection="1">
      <alignment vertical="center"/>
      <protection hidden="1"/>
    </xf>
    <xf numFmtId="184" fontId="2" fillId="6" borderId="2" xfId="0" applyFont="1" applyFill="1" applyBorder="1" applyAlignment="1" applyProtection="1">
      <alignment vertical="center"/>
      <protection hidden="1"/>
    </xf>
    <xf numFmtId="3" fontId="2" fillId="6" borderId="2" xfId="0" applyNumberFormat="1" applyFont="1" applyFill="1" applyBorder="1" applyAlignment="1" applyProtection="1">
      <alignment horizontal="center" vertical="center"/>
      <protection hidden="1"/>
    </xf>
    <xf numFmtId="184" fontId="3" fillId="6" borderId="0" xfId="0" applyFont="1" applyFill="1" applyAlignment="1" applyProtection="1">
      <alignment horizontal="center" vertical="center"/>
      <protection hidden="1"/>
    </xf>
    <xf numFmtId="3" fontId="2" fillId="6" borderId="0" xfId="0" applyNumberFormat="1" applyFont="1" applyFill="1" applyAlignment="1" applyProtection="1">
      <alignment horizontal="center" vertical="center"/>
      <protection hidden="1"/>
    </xf>
    <xf numFmtId="184" fontId="3" fillId="6" borderId="21" xfId="0" applyFont="1" applyFill="1" applyBorder="1" applyAlignment="1" applyProtection="1">
      <alignment vertical="center"/>
      <protection hidden="1"/>
    </xf>
    <xf numFmtId="184" fontId="2" fillId="3" borderId="2" xfId="0" applyFont="1" applyFill="1" applyBorder="1" applyAlignment="1" applyProtection="1">
      <alignment horizontal="center" vertical="center"/>
      <protection hidden="1"/>
    </xf>
    <xf numFmtId="184" fontId="3" fillId="5" borderId="18" xfId="0" applyFont="1" applyFill="1" applyBorder="1" applyAlignment="1" applyProtection="1">
      <alignment vertical="center"/>
      <protection hidden="1"/>
    </xf>
    <xf numFmtId="183" fontId="22" fillId="5" borderId="18" xfId="0" applyNumberFormat="1" applyFont="1" applyFill="1" applyBorder="1" applyAlignment="1" applyProtection="1">
      <alignment horizontal="center" vertical="center" wrapText="1"/>
      <protection hidden="1"/>
    </xf>
    <xf numFmtId="183" fontId="22" fillId="5" borderId="10" xfId="0" applyNumberFormat="1" applyFont="1" applyFill="1" applyBorder="1" applyAlignment="1" applyProtection="1">
      <alignment horizontal="center" vertical="center" wrapText="1"/>
      <protection hidden="1"/>
    </xf>
    <xf numFmtId="183" fontId="22" fillId="5" borderId="11" xfId="0" applyNumberFormat="1" applyFont="1" applyFill="1" applyBorder="1" applyAlignment="1" applyProtection="1">
      <alignment horizontal="center" vertical="center" wrapText="1"/>
      <protection hidden="1"/>
    </xf>
    <xf numFmtId="183" fontId="22" fillId="5" borderId="12" xfId="0" applyNumberFormat="1" applyFont="1" applyFill="1" applyBorder="1" applyAlignment="1" applyProtection="1">
      <alignment horizontal="center" vertical="center" wrapText="1"/>
      <protection hidden="1"/>
    </xf>
    <xf numFmtId="184" fontId="3" fillId="5" borderId="20" xfId="0" applyFont="1" applyFill="1" applyBorder="1" applyAlignment="1" applyProtection="1">
      <alignment vertical="center"/>
      <protection hidden="1"/>
    </xf>
    <xf numFmtId="179" fontId="22" fillId="5" borderId="15" xfId="0" applyNumberFormat="1" applyFont="1" applyFill="1" applyBorder="1" applyAlignment="1" applyProtection="1">
      <alignment horizontal="center" vertical="center" wrapText="1"/>
      <protection hidden="1"/>
    </xf>
    <xf numFmtId="179" fontId="22" fillId="5" borderId="16" xfId="0" applyNumberFormat="1" applyFont="1" applyFill="1" applyBorder="1" applyAlignment="1" applyProtection="1">
      <alignment horizontal="center" vertical="center" wrapText="1"/>
      <protection hidden="1"/>
    </xf>
    <xf numFmtId="179" fontId="22" fillId="5" borderId="17" xfId="0" applyNumberFormat="1" applyFont="1" applyFill="1" applyBorder="1" applyAlignment="1" applyProtection="1">
      <alignment horizontal="center" vertical="center" wrapText="1"/>
      <protection hidden="1"/>
    </xf>
    <xf numFmtId="184" fontId="0" fillId="6" borderId="0" xfId="0" applyFill="1" applyAlignment="1" applyProtection="1">
      <alignment vertical="center" wrapText="1"/>
      <protection hidden="1"/>
    </xf>
    <xf numFmtId="184" fontId="3" fillId="6" borderId="41" xfId="0" applyFont="1" applyFill="1" applyBorder="1" applyAlignment="1" applyProtection="1">
      <alignment vertical="center"/>
      <protection hidden="1"/>
    </xf>
    <xf numFmtId="3" fontId="2" fillId="6" borderId="10" xfId="0" applyNumberFormat="1" applyFont="1" applyFill="1" applyBorder="1" applyAlignment="1" applyProtection="1">
      <alignment horizontal="center" vertical="center"/>
      <protection hidden="1"/>
    </xf>
    <xf numFmtId="184" fontId="3" fillId="6" borderId="19" xfId="0" applyFont="1" applyFill="1" applyBorder="1" applyAlignment="1" applyProtection="1">
      <alignment vertical="center"/>
      <protection hidden="1"/>
    </xf>
    <xf numFmtId="181" fontId="2" fillId="5" borderId="45" xfId="1" applyNumberFormat="1" applyFont="1" applyFill="1" applyBorder="1" applyAlignment="1" applyProtection="1">
      <alignment horizontal="center" vertical="center"/>
      <protection hidden="1"/>
    </xf>
    <xf numFmtId="181" fontId="2" fillId="6" borderId="13" xfId="1" applyNumberFormat="1" applyFont="1" applyFill="1" applyBorder="1" applyAlignment="1" applyProtection="1">
      <alignment horizontal="center" vertical="center"/>
      <protection hidden="1"/>
    </xf>
    <xf numFmtId="181" fontId="2" fillId="6" borderId="30" xfId="1" applyNumberFormat="1" applyFont="1" applyFill="1" applyBorder="1" applyAlignment="1" applyProtection="1">
      <alignment horizontal="center" vertical="center"/>
      <protection hidden="1"/>
    </xf>
    <xf numFmtId="181" fontId="2" fillId="6" borderId="31" xfId="1" applyNumberFormat="1" applyFont="1" applyFill="1" applyBorder="1" applyAlignment="1" applyProtection="1">
      <alignment horizontal="center" vertical="center"/>
      <protection hidden="1"/>
    </xf>
    <xf numFmtId="180" fontId="2" fillId="5" borderId="19" xfId="0" applyNumberFormat="1" applyFont="1" applyFill="1" applyBorder="1" applyAlignment="1" applyProtection="1">
      <alignment horizontal="center" vertical="center"/>
      <protection hidden="1"/>
    </xf>
    <xf numFmtId="180" fontId="2" fillId="5" borderId="13" xfId="0" applyNumberFormat="1" applyFont="1" applyFill="1" applyBorder="1" applyAlignment="1" applyProtection="1">
      <alignment horizontal="center" vertical="center"/>
      <protection hidden="1"/>
    </xf>
    <xf numFmtId="180" fontId="2" fillId="5" borderId="1" xfId="0" applyNumberFormat="1" applyFont="1" applyFill="1" applyBorder="1" applyAlignment="1" applyProtection="1">
      <alignment horizontal="center" vertical="center"/>
      <protection hidden="1"/>
    </xf>
    <xf numFmtId="180" fontId="2" fillId="5" borderId="14" xfId="0" applyNumberFormat="1" applyFont="1" applyFill="1" applyBorder="1" applyAlignment="1" applyProtection="1">
      <alignment horizontal="center" vertical="center"/>
      <protection hidden="1"/>
    </xf>
    <xf numFmtId="184" fontId="3" fillId="6" borderId="20" xfId="0" applyFont="1" applyFill="1" applyBorder="1" applyAlignment="1" applyProtection="1">
      <alignment vertical="center"/>
      <protection hidden="1"/>
    </xf>
    <xf numFmtId="177" fontId="2" fillId="6" borderId="46" xfId="0" applyNumberFormat="1" applyFont="1" applyFill="1" applyBorder="1" applyAlignment="1" applyProtection="1">
      <alignment horizontal="center" vertical="center"/>
      <protection hidden="1"/>
    </xf>
    <xf numFmtId="177" fontId="2" fillId="6" borderId="47" xfId="0" applyNumberFormat="1" applyFont="1" applyFill="1" applyBorder="1" applyAlignment="1" applyProtection="1">
      <alignment horizontal="center" vertical="center"/>
      <protection hidden="1"/>
    </xf>
    <xf numFmtId="177" fontId="2" fillId="6" borderId="48" xfId="0" applyNumberFormat="1" applyFont="1" applyFill="1" applyBorder="1" applyAlignment="1" applyProtection="1">
      <alignment horizontal="center" vertical="center"/>
      <protection hidden="1"/>
    </xf>
    <xf numFmtId="184" fontId="3" fillId="6" borderId="4" xfId="0" applyFont="1" applyFill="1" applyBorder="1" applyAlignment="1" applyProtection="1">
      <alignment vertical="center"/>
      <protection hidden="1"/>
    </xf>
    <xf numFmtId="184" fontId="3" fillId="3" borderId="18" xfId="0" applyFont="1" applyFill="1" applyBorder="1" applyAlignment="1" applyProtection="1">
      <alignment vertical="center"/>
      <protection hidden="1"/>
    </xf>
    <xf numFmtId="3" fontId="2" fillId="6" borderId="7" xfId="0" applyNumberFormat="1" applyFont="1" applyFill="1" applyBorder="1" applyAlignment="1" applyProtection="1">
      <alignment horizontal="center" vertical="center"/>
      <protection hidden="1"/>
    </xf>
    <xf numFmtId="3" fontId="2" fillId="6" borderId="8" xfId="0" applyNumberFormat="1" applyFont="1" applyFill="1" applyBorder="1" applyAlignment="1" applyProtection="1">
      <alignment horizontal="center" vertical="center"/>
      <protection hidden="1"/>
    </xf>
    <xf numFmtId="184" fontId="4" fillId="6" borderId="0" xfId="0" applyFont="1" applyFill="1" applyAlignment="1" applyProtection="1">
      <alignment horizontal="center" vertical="center"/>
      <protection hidden="1"/>
    </xf>
    <xf numFmtId="184" fontId="3" fillId="6" borderId="44" xfId="0" applyFont="1" applyFill="1" applyBorder="1" applyAlignment="1" applyProtection="1">
      <alignment horizontal="center" vertical="center"/>
      <protection hidden="1"/>
    </xf>
    <xf numFmtId="184" fontId="3" fillId="6" borderId="42" xfId="0" applyFont="1" applyFill="1" applyBorder="1" applyAlignment="1" applyProtection="1">
      <alignment horizontal="center" vertical="center"/>
      <protection hidden="1"/>
    </xf>
    <xf numFmtId="184" fontId="3" fillId="6" borderId="43" xfId="0" applyFont="1" applyFill="1" applyBorder="1" applyAlignment="1" applyProtection="1">
      <alignment horizontal="center" vertical="center"/>
      <protection hidden="1"/>
    </xf>
    <xf numFmtId="184" fontId="2" fillId="6" borderId="18" xfId="0" applyFont="1" applyFill="1" applyBorder="1" applyAlignment="1" applyProtection="1">
      <alignment vertical="center"/>
      <protection hidden="1"/>
    </xf>
    <xf numFmtId="184" fontId="2" fillId="6" borderId="19" xfId="0" applyFont="1" applyFill="1" applyBorder="1" applyAlignment="1" applyProtection="1">
      <alignment vertical="center"/>
      <protection hidden="1"/>
    </xf>
    <xf numFmtId="184" fontId="2" fillId="6" borderId="1" xfId="1" applyNumberFormat="1" applyFont="1" applyFill="1" applyBorder="1" applyAlignment="1" applyProtection="1">
      <alignment horizontal="center" vertical="center"/>
      <protection hidden="1"/>
    </xf>
    <xf numFmtId="184" fontId="2" fillId="6" borderId="14" xfId="1" applyNumberFormat="1" applyFont="1" applyFill="1" applyBorder="1" applyAlignment="1" applyProtection="1">
      <alignment horizontal="center" vertical="center"/>
      <protection hidden="1"/>
    </xf>
    <xf numFmtId="184" fontId="2" fillId="6" borderId="20" xfId="0" applyFont="1" applyFill="1" applyBorder="1" applyAlignment="1" applyProtection="1">
      <alignment vertical="center"/>
      <protection hidden="1"/>
    </xf>
    <xf numFmtId="10" fontId="2" fillId="6" borderId="16" xfId="1" applyNumberFormat="1" applyFont="1" applyFill="1" applyBorder="1" applyAlignment="1" applyProtection="1">
      <alignment horizontal="center" vertical="center"/>
      <protection hidden="1"/>
    </xf>
    <xf numFmtId="10" fontId="2" fillId="6" borderId="17" xfId="1" applyNumberFormat="1" applyFont="1" applyFill="1" applyBorder="1" applyAlignment="1" applyProtection="1">
      <alignment horizontal="center" vertical="center"/>
      <protection hidden="1"/>
    </xf>
    <xf numFmtId="180" fontId="27" fillId="6" borderId="1" xfId="0" applyNumberFormat="1" applyFont="1" applyFill="1" applyBorder="1" applyAlignment="1" applyProtection="1">
      <alignment horizontal="center" vertical="center"/>
      <protection hidden="1"/>
    </xf>
    <xf numFmtId="180" fontId="27" fillId="6" borderId="14" xfId="0" applyNumberFormat="1" applyFont="1" applyFill="1" applyBorder="1" applyAlignment="1" applyProtection="1">
      <alignment horizontal="center" vertical="center"/>
      <protection hidden="1"/>
    </xf>
    <xf numFmtId="172" fontId="2" fillId="6" borderId="15" xfId="2" applyNumberFormat="1" applyFont="1" applyFill="1" applyBorder="1" applyAlignment="1" applyProtection="1">
      <alignment horizontal="center" vertical="center"/>
      <protection hidden="1"/>
    </xf>
    <xf numFmtId="172" fontId="2" fillId="6" borderId="16" xfId="2" applyNumberFormat="1" applyFont="1" applyFill="1" applyBorder="1" applyAlignment="1" applyProtection="1">
      <alignment horizontal="center" vertical="center"/>
      <protection hidden="1"/>
    </xf>
    <xf numFmtId="172" fontId="2" fillId="6" borderId="17" xfId="2" applyNumberFormat="1" applyFont="1" applyFill="1" applyBorder="1" applyAlignment="1" applyProtection="1">
      <alignment horizontal="center" vertical="center"/>
      <protection hidden="1"/>
    </xf>
    <xf numFmtId="184" fontId="2" fillId="6" borderId="45" xfId="0" applyFont="1" applyFill="1" applyBorder="1" applyAlignment="1" applyProtection="1">
      <alignment vertical="center"/>
      <protection hidden="1"/>
    </xf>
    <xf numFmtId="180" fontId="2" fillId="6" borderId="15" xfId="0" applyNumberFormat="1" applyFont="1" applyFill="1" applyBorder="1" applyAlignment="1" applyProtection="1">
      <alignment horizontal="center" vertical="center"/>
      <protection hidden="1"/>
    </xf>
    <xf numFmtId="180" fontId="2" fillId="6" borderId="16" xfId="0" applyNumberFormat="1" applyFont="1" applyFill="1" applyBorder="1" applyAlignment="1" applyProtection="1">
      <alignment horizontal="center" vertical="center"/>
      <protection hidden="1"/>
    </xf>
    <xf numFmtId="180" fontId="2" fillId="6" borderId="17" xfId="0" applyNumberFormat="1" applyFont="1" applyFill="1" applyBorder="1" applyAlignment="1" applyProtection="1">
      <alignment horizontal="center" vertical="center"/>
      <protection hidden="1"/>
    </xf>
    <xf numFmtId="3" fontId="0" fillId="0" borderId="0" xfId="0" applyNumberFormat="1"/>
    <xf numFmtId="184" fontId="3" fillId="0" borderId="7" xfId="0" applyFont="1" applyBorder="1" applyAlignment="1">
      <alignment horizontal="center"/>
    </xf>
    <xf numFmtId="184" fontId="3" fillId="0" borderId="8" xfId="0" applyFont="1" applyBorder="1" applyAlignment="1">
      <alignment horizontal="center"/>
    </xf>
    <xf numFmtId="180" fontId="3" fillId="6" borderId="7" xfId="0" applyNumberFormat="1" applyFont="1" applyFill="1" applyBorder="1" applyAlignment="1" applyProtection="1">
      <alignment horizontal="center" vertical="center"/>
      <protection hidden="1"/>
    </xf>
    <xf numFmtId="180" fontId="3" fillId="6" borderId="8" xfId="0" applyNumberFormat="1" applyFont="1" applyFill="1" applyBorder="1" applyAlignment="1" applyProtection="1">
      <alignment horizontal="center" vertical="center"/>
      <protection hidden="1"/>
    </xf>
    <xf numFmtId="180" fontId="2" fillId="6" borderId="11" xfId="2" applyNumberFormat="1" applyFont="1" applyFill="1" applyBorder="1" applyAlignment="1" applyProtection="1">
      <alignment horizontal="center" vertical="center"/>
      <protection hidden="1"/>
    </xf>
    <xf numFmtId="180" fontId="2" fillId="6" borderId="12" xfId="2" applyNumberFormat="1" applyFont="1" applyFill="1" applyBorder="1" applyAlignment="1" applyProtection="1">
      <alignment horizontal="center" vertical="center"/>
      <protection hidden="1"/>
    </xf>
    <xf numFmtId="184" fontId="2" fillId="6" borderId="0" xfId="0" applyFont="1" applyFill="1" applyAlignment="1" applyProtection="1">
      <alignment vertical="center" textRotation="45" wrapText="1"/>
      <protection hidden="1"/>
    </xf>
    <xf numFmtId="184" fontId="2" fillId="0" borderId="4" xfId="0" applyFont="1" applyBorder="1"/>
    <xf numFmtId="184" fontId="2" fillId="0" borderId="28" xfId="0" applyFont="1" applyBorder="1"/>
    <xf numFmtId="184" fontId="2" fillId="0" borderId="5" xfId="0" applyFont="1" applyBorder="1"/>
    <xf numFmtId="3" fontId="2" fillId="6" borderId="12" xfId="0" applyNumberFormat="1" applyFont="1" applyFill="1" applyBorder="1" applyAlignment="1" applyProtection="1">
      <alignment horizontal="center" vertical="center"/>
      <protection hidden="1"/>
    </xf>
    <xf numFmtId="1" fontId="2" fillId="6" borderId="1" xfId="0" applyNumberFormat="1" applyFont="1" applyFill="1" applyBorder="1" applyAlignment="1" applyProtection="1">
      <alignment horizontal="center" vertical="center"/>
      <protection hidden="1"/>
    </xf>
    <xf numFmtId="1" fontId="2" fillId="6" borderId="30" xfId="0" applyNumberFormat="1" applyFont="1" applyFill="1" applyBorder="1" applyAlignment="1" applyProtection="1">
      <alignment horizontal="center" vertical="center"/>
      <protection hidden="1"/>
    </xf>
    <xf numFmtId="184" fontId="2" fillId="6" borderId="6" xfId="0" applyFont="1" applyFill="1" applyBorder="1" applyAlignment="1" applyProtection="1">
      <alignment horizontal="center" vertical="center"/>
      <protection hidden="1"/>
    </xf>
    <xf numFmtId="184" fontId="2" fillId="0" borderId="2" xfId="0" applyFont="1" applyBorder="1" applyAlignment="1">
      <alignment vertical="center" wrapText="1"/>
    </xf>
    <xf numFmtId="3" fontId="2" fillId="6" borderId="17" xfId="0" applyNumberFormat="1" applyFont="1" applyFill="1" applyBorder="1" applyAlignment="1" applyProtection="1">
      <alignment horizontal="center" vertical="center"/>
      <protection hidden="1"/>
    </xf>
    <xf numFmtId="184" fontId="3" fillId="6" borderId="5" xfId="0" applyFont="1" applyFill="1" applyBorder="1" applyAlignment="1" applyProtection="1">
      <alignment vertical="center"/>
      <protection hidden="1"/>
    </xf>
    <xf numFmtId="184" fontId="3" fillId="3" borderId="20" xfId="0" applyFont="1" applyFill="1" applyBorder="1" applyAlignment="1" applyProtection="1">
      <alignment vertical="center"/>
      <protection hidden="1"/>
    </xf>
    <xf numFmtId="3" fontId="2" fillId="6" borderId="15" xfId="0" applyNumberFormat="1" applyFont="1" applyFill="1" applyBorder="1" applyAlignment="1" applyProtection="1">
      <alignment horizontal="center" vertical="center"/>
      <protection hidden="1"/>
    </xf>
    <xf numFmtId="3" fontId="2" fillId="6" borderId="11" xfId="0" applyNumberFormat="1" applyFont="1" applyFill="1" applyBorder="1" applyAlignment="1" applyProtection="1">
      <alignment horizontal="center" vertical="center"/>
      <protection hidden="1"/>
    </xf>
    <xf numFmtId="3" fontId="2" fillId="6" borderId="29" xfId="0" applyNumberFormat="1" applyFont="1" applyFill="1" applyBorder="1" applyAlignment="1" applyProtection="1">
      <alignment horizontal="center" vertical="center"/>
      <protection hidden="1"/>
    </xf>
    <xf numFmtId="3" fontId="2" fillId="6" borderId="24" xfId="0" applyNumberFormat="1" applyFont="1" applyFill="1" applyBorder="1" applyAlignment="1" applyProtection="1">
      <alignment horizontal="center" vertical="center"/>
      <protection hidden="1"/>
    </xf>
    <xf numFmtId="3" fontId="2" fillId="6" borderId="25" xfId="0" applyNumberFormat="1" applyFont="1" applyFill="1" applyBorder="1" applyAlignment="1" applyProtection="1">
      <alignment horizontal="center" vertical="center"/>
      <protection hidden="1"/>
    </xf>
    <xf numFmtId="171" fontId="2" fillId="6" borderId="14" xfId="2" applyNumberFormat="1" applyFont="1" applyFill="1" applyBorder="1" applyAlignment="1" applyProtection="1">
      <alignment horizontal="center" vertical="center"/>
      <protection hidden="1"/>
    </xf>
    <xf numFmtId="186" fontId="27" fillId="6" borderId="13" xfId="0" applyNumberFormat="1" applyFont="1" applyFill="1" applyBorder="1" applyAlignment="1" applyProtection="1">
      <alignment horizontal="center" vertical="center"/>
      <protection hidden="1"/>
    </xf>
    <xf numFmtId="186" fontId="2" fillId="6" borderId="1" xfId="1" applyNumberFormat="1" applyFont="1" applyFill="1" applyBorder="1" applyAlignment="1" applyProtection="1">
      <alignment horizontal="center" vertical="center"/>
      <protection hidden="1"/>
    </xf>
    <xf numFmtId="186" fontId="2" fillId="6" borderId="14" xfId="1" applyNumberFormat="1" applyFont="1" applyFill="1" applyBorder="1" applyAlignment="1" applyProtection="1">
      <alignment horizontal="center" vertical="center"/>
      <protection hidden="1"/>
    </xf>
    <xf numFmtId="3" fontId="2" fillId="6" borderId="1" xfId="0" applyNumberFormat="1" applyFont="1" applyFill="1" applyBorder="1" applyAlignment="1" applyProtection="1">
      <alignment horizontal="center" vertical="center"/>
      <protection hidden="1"/>
    </xf>
    <xf numFmtId="3" fontId="2" fillId="6" borderId="16" xfId="0" applyNumberFormat="1" applyFont="1" applyFill="1" applyBorder="1" applyAlignment="1" applyProtection="1">
      <alignment horizontal="center" vertical="center"/>
      <protection hidden="1"/>
    </xf>
    <xf numFmtId="184" fontId="3" fillId="5" borderId="8" xfId="0" applyFont="1" applyFill="1" applyBorder="1" applyAlignment="1" applyProtection="1">
      <alignment horizontal="center" vertical="center"/>
      <protection hidden="1"/>
    </xf>
    <xf numFmtId="184" fontId="3" fillId="6" borderId="6" xfId="0" applyFont="1" applyFill="1" applyBorder="1" applyAlignment="1" applyProtection="1">
      <alignment horizontal="center" vertical="center"/>
      <protection hidden="1"/>
    </xf>
    <xf numFmtId="3" fontId="2" fillId="6" borderId="14" xfId="0" applyNumberFormat="1" applyFont="1" applyFill="1" applyBorder="1" applyAlignment="1" applyProtection="1">
      <alignment horizontal="left" vertical="center"/>
      <protection hidden="1"/>
    </xf>
    <xf numFmtId="3" fontId="2" fillId="6" borderId="72" xfId="0" applyNumberFormat="1" applyFont="1" applyFill="1" applyBorder="1" applyAlignment="1" applyProtection="1">
      <alignment horizontal="center" vertical="center"/>
      <protection hidden="1"/>
    </xf>
    <xf numFmtId="184" fontId="3" fillId="3" borderId="2" xfId="0" applyFont="1" applyFill="1" applyBorder="1" applyAlignment="1" applyProtection="1">
      <alignment vertical="center"/>
      <protection hidden="1"/>
    </xf>
    <xf numFmtId="184" fontId="3" fillId="5" borderId="7" xfId="0" applyFont="1" applyFill="1" applyBorder="1" applyAlignment="1" applyProtection="1">
      <alignment horizontal="center" vertical="center"/>
      <protection hidden="1"/>
    </xf>
    <xf numFmtId="184" fontId="3" fillId="5" borderId="42" xfId="0" applyFont="1" applyFill="1" applyBorder="1" applyAlignment="1" applyProtection="1">
      <alignment horizontal="center" vertical="center"/>
      <protection hidden="1"/>
    </xf>
    <xf numFmtId="1" fontId="0" fillId="0" borderId="0" xfId="0" applyNumberFormat="1" applyAlignment="1">
      <alignment horizontal="center"/>
    </xf>
    <xf numFmtId="184" fontId="0" fillId="0" borderId="0" xfId="0" applyAlignment="1">
      <alignment horizontal="center"/>
    </xf>
    <xf numFmtId="184" fontId="2" fillId="0" borderId="0" xfId="0" applyFont="1" applyAlignment="1">
      <alignment horizontal="center"/>
    </xf>
    <xf numFmtId="184" fontId="2" fillId="0" borderId="0" xfId="1" applyNumberFormat="1" applyFont="1" applyAlignment="1">
      <alignment horizontal="center"/>
    </xf>
    <xf numFmtId="2" fontId="2" fillId="5" borderId="26" xfId="0" applyNumberFormat="1" applyFont="1" applyFill="1" applyBorder="1" applyAlignment="1" applyProtection="1">
      <alignment horizontal="center" vertical="center"/>
      <protection hidden="1"/>
    </xf>
    <xf numFmtId="172" fontId="2" fillId="6" borderId="5" xfId="2" applyNumberFormat="1" applyFont="1" applyFill="1" applyBorder="1" applyAlignment="1" applyProtection="1">
      <alignment horizontal="center" vertical="center"/>
      <protection hidden="1"/>
    </xf>
    <xf numFmtId="172" fontId="2" fillId="6" borderId="86" xfId="2" applyNumberFormat="1" applyFont="1" applyFill="1" applyBorder="1" applyAlignment="1" applyProtection="1">
      <alignment horizontal="center" vertical="center"/>
      <protection hidden="1"/>
    </xf>
    <xf numFmtId="184" fontId="2" fillId="6" borderId="0" xfId="0" applyFont="1" applyFill="1" applyAlignment="1" applyProtection="1">
      <alignment horizontal="center" vertical="center" textRotation="45"/>
      <protection hidden="1"/>
    </xf>
    <xf numFmtId="4" fontId="6" fillId="6" borderId="0" xfId="0" applyNumberFormat="1" applyFont="1" applyFill="1" applyAlignment="1" applyProtection="1">
      <alignment horizontal="center" vertical="center"/>
      <protection hidden="1"/>
    </xf>
    <xf numFmtId="4" fontId="0" fillId="6" borderId="0" xfId="0" applyNumberFormat="1" applyFill="1" applyAlignment="1" applyProtection="1">
      <alignment horizontal="center" vertical="center"/>
      <protection hidden="1"/>
    </xf>
    <xf numFmtId="184" fontId="3" fillId="0" borderId="46" xfId="0" applyFont="1" applyBorder="1" applyAlignment="1">
      <alignment horizontal="center"/>
    </xf>
    <xf numFmtId="184" fontId="0" fillId="6" borderId="87" xfId="0" applyFill="1" applyBorder="1" applyAlignment="1" applyProtection="1">
      <alignment vertical="center"/>
      <protection hidden="1"/>
    </xf>
    <xf numFmtId="184" fontId="0" fillId="6" borderId="28" xfId="0" applyFill="1" applyBorder="1" applyAlignment="1" applyProtection="1">
      <alignment vertical="center"/>
      <protection hidden="1"/>
    </xf>
    <xf numFmtId="4" fontId="6" fillId="6" borderId="2" xfId="0" applyNumberFormat="1" applyFont="1" applyFill="1" applyBorder="1" applyAlignment="1" applyProtection="1">
      <alignment horizontal="center" vertical="center"/>
      <protection hidden="1"/>
    </xf>
    <xf numFmtId="0" fontId="6" fillId="6" borderId="27" xfId="0" applyNumberFormat="1" applyFont="1" applyFill="1" applyBorder="1" applyAlignment="1" applyProtection="1">
      <alignment horizontal="center" vertical="center"/>
      <protection hidden="1"/>
    </xf>
    <xf numFmtId="0" fontId="6" fillId="6" borderId="58" xfId="0" applyNumberFormat="1" applyFont="1" applyFill="1" applyBorder="1" applyAlignment="1" applyProtection="1">
      <alignment horizontal="center" vertical="center"/>
      <protection hidden="1"/>
    </xf>
    <xf numFmtId="3" fontId="2" fillId="6" borderId="1" xfId="0" applyNumberFormat="1" applyFont="1" applyFill="1" applyBorder="1" applyAlignment="1" applyProtection="1">
      <alignment horizontal="center"/>
      <protection locked="0"/>
    </xf>
    <xf numFmtId="3" fontId="2" fillId="6" borderId="1" xfId="0" applyNumberFormat="1" applyFont="1" applyFill="1" applyBorder="1" applyAlignment="1" applyProtection="1">
      <alignment horizontal="center" wrapText="1"/>
      <protection locked="0"/>
    </xf>
    <xf numFmtId="0" fontId="2" fillId="6" borderId="7" xfId="0" applyNumberFormat="1" applyFont="1" applyFill="1" applyBorder="1" applyAlignment="1" applyProtection="1">
      <alignment horizontal="center"/>
      <protection locked="0"/>
    </xf>
    <xf numFmtId="184" fontId="2" fillId="6" borderId="8" xfId="0" applyFont="1" applyFill="1" applyBorder="1" applyAlignment="1" applyProtection="1">
      <alignment horizontal="center"/>
      <protection locked="0"/>
    </xf>
    <xf numFmtId="184" fontId="2" fillId="6" borderId="6" xfId="0" applyFont="1" applyFill="1" applyBorder="1" applyAlignment="1" applyProtection="1">
      <alignment horizontal="center"/>
      <protection locked="0"/>
    </xf>
    <xf numFmtId="3" fontId="2" fillId="6" borderId="7" xfId="0" applyNumberFormat="1" applyFont="1" applyFill="1" applyBorder="1" applyAlignment="1" applyProtection="1">
      <alignment horizontal="center"/>
      <protection locked="0"/>
    </xf>
    <xf numFmtId="184" fontId="3" fillId="6" borderId="13" xfId="0" applyFont="1" applyFill="1" applyBorder="1" applyAlignment="1" applyProtection="1">
      <alignment horizontal="center"/>
      <protection locked="0"/>
    </xf>
    <xf numFmtId="184" fontId="3" fillId="6" borderId="1" xfId="0" applyFont="1" applyFill="1" applyBorder="1" applyAlignment="1" applyProtection="1">
      <alignment horizontal="center"/>
      <protection locked="0"/>
    </xf>
    <xf numFmtId="184" fontId="3" fillId="6" borderId="14" xfId="0" applyFont="1" applyFill="1" applyBorder="1" applyAlignment="1" applyProtection="1">
      <alignment horizontal="center"/>
      <protection locked="0"/>
    </xf>
    <xf numFmtId="184" fontId="2" fillId="6" borderId="13" xfId="0" applyFont="1" applyFill="1" applyBorder="1" applyAlignment="1" applyProtection="1">
      <alignment horizontal="center"/>
      <protection locked="0"/>
    </xf>
    <xf numFmtId="184" fontId="2" fillId="6" borderId="14" xfId="0" applyFont="1" applyFill="1" applyBorder="1" applyAlignment="1" applyProtection="1">
      <alignment horizontal="center"/>
      <protection locked="0"/>
    </xf>
    <xf numFmtId="186" fontId="2" fillId="6" borderId="7" xfId="0" applyNumberFormat="1" applyFont="1" applyFill="1" applyBorder="1" applyAlignment="1" applyProtection="1">
      <alignment horizontal="center"/>
      <protection locked="0"/>
    </xf>
    <xf numFmtId="184" fontId="24" fillId="0" borderId="0" xfId="0" applyFont="1"/>
    <xf numFmtId="0" fontId="3" fillId="6" borderId="91" xfId="0" applyNumberFormat="1" applyFont="1" applyFill="1" applyBorder="1" applyAlignment="1" applyProtection="1">
      <alignment vertical="center"/>
      <protection hidden="1"/>
    </xf>
    <xf numFmtId="0" fontId="3" fillId="6" borderId="9" xfId="0" applyNumberFormat="1" applyFont="1" applyFill="1" applyBorder="1" applyAlignment="1" applyProtection="1">
      <alignment vertical="center"/>
      <protection hidden="1"/>
    </xf>
    <xf numFmtId="184" fontId="251" fillId="0" borderId="59" xfId="0" applyFont="1" applyBorder="1" applyAlignment="1" applyProtection="1">
      <alignment horizontal="center" vertical="center"/>
      <protection locked="0"/>
    </xf>
    <xf numFmtId="184" fontId="2" fillId="0" borderId="27" xfId="0" applyFont="1" applyBorder="1"/>
    <xf numFmtId="180" fontId="2" fillId="6" borderId="95" xfId="0" applyNumberFormat="1" applyFont="1" applyFill="1" applyBorder="1" applyAlignment="1" applyProtection="1">
      <alignment horizontal="center" vertical="center"/>
      <protection hidden="1"/>
    </xf>
    <xf numFmtId="180" fontId="2" fillId="6" borderId="96" xfId="0" applyNumberFormat="1" applyFont="1" applyFill="1" applyBorder="1" applyAlignment="1" applyProtection="1">
      <alignment horizontal="center" vertical="center"/>
      <protection hidden="1"/>
    </xf>
    <xf numFmtId="1" fontId="2" fillId="0" borderId="30" xfId="0" applyNumberFormat="1" applyFont="1" applyBorder="1" applyAlignment="1" applyProtection="1">
      <alignment horizontal="center" vertical="center"/>
      <protection hidden="1"/>
    </xf>
    <xf numFmtId="1" fontId="2" fillId="0" borderId="11" xfId="0" applyNumberFormat="1" applyFont="1" applyBorder="1" applyAlignment="1" applyProtection="1">
      <alignment horizontal="center" vertical="center"/>
      <protection hidden="1"/>
    </xf>
    <xf numFmtId="1" fontId="2" fillId="0" borderId="1" xfId="0" applyNumberFormat="1" applyFont="1" applyBorder="1" applyAlignment="1" applyProtection="1">
      <alignment horizontal="center" vertical="center"/>
      <protection hidden="1"/>
    </xf>
    <xf numFmtId="184" fontId="251" fillId="0" borderId="0" xfId="0" applyFont="1"/>
    <xf numFmtId="14" fontId="251" fillId="0" borderId="0" xfId="0" applyNumberFormat="1" applyFont="1"/>
    <xf numFmtId="14" fontId="251" fillId="0" borderId="2" xfId="0" applyNumberFormat="1" applyFont="1" applyBorder="1"/>
    <xf numFmtId="184" fontId="287" fillId="0" borderId="2" xfId="0" applyFont="1" applyBorder="1" applyAlignment="1">
      <alignment horizontal="center"/>
    </xf>
    <xf numFmtId="184" fontId="251" fillId="0" borderId="41" xfId="0" applyFont="1" applyBorder="1"/>
    <xf numFmtId="184" fontId="251" fillId="0" borderId="19" xfId="0" applyFont="1" applyBorder="1"/>
    <xf numFmtId="184" fontId="251" fillId="47" borderId="19" xfId="0" applyFont="1" applyFill="1" applyBorder="1"/>
    <xf numFmtId="184" fontId="251" fillId="0" borderId="20" xfId="0" applyFont="1" applyBorder="1"/>
    <xf numFmtId="184" fontId="287" fillId="0" borderId="26" xfId="0" applyFont="1" applyBorder="1" applyAlignment="1">
      <alignment horizontal="center"/>
    </xf>
    <xf numFmtId="184" fontId="287" fillId="0" borderId="85" xfId="0" applyFont="1" applyBorder="1" applyAlignment="1">
      <alignment horizontal="center"/>
    </xf>
    <xf numFmtId="184" fontId="251" fillId="0" borderId="18" xfId="0" applyFont="1" applyBorder="1"/>
    <xf numFmtId="184" fontId="287" fillId="6" borderId="10" xfId="0" applyFont="1" applyFill="1" applyBorder="1" applyAlignment="1">
      <alignment horizontal="center" vertical="center"/>
    </xf>
    <xf numFmtId="182" fontId="251" fillId="2" borderId="31" xfId="0" applyNumberFormat="1" applyFont="1" applyFill="1" applyBorder="1" applyAlignment="1" applyProtection="1">
      <alignment horizontal="center" vertical="center"/>
      <protection locked="0"/>
    </xf>
    <xf numFmtId="4" fontId="287" fillId="6" borderId="13" xfId="0" applyNumberFormat="1" applyFont="1" applyFill="1" applyBorder="1" applyAlignment="1">
      <alignment horizontal="center" vertical="center"/>
    </xf>
    <xf numFmtId="4" fontId="287" fillId="6" borderId="15" xfId="0" applyNumberFormat="1" applyFont="1" applyFill="1" applyBorder="1" applyAlignment="1">
      <alignment horizontal="center" vertical="center"/>
    </xf>
    <xf numFmtId="4" fontId="287" fillId="6" borderId="2" xfId="0" applyNumberFormat="1" applyFont="1" applyFill="1" applyBorder="1" applyAlignment="1" applyProtection="1">
      <alignment horizontal="center" vertical="center"/>
      <protection hidden="1"/>
    </xf>
    <xf numFmtId="0" fontId="251" fillId="2" borderId="3" xfId="0" applyNumberFormat="1" applyFont="1" applyFill="1" applyBorder="1" applyProtection="1">
      <protection locked="0"/>
    </xf>
    <xf numFmtId="0" fontId="251" fillId="0" borderId="28" xfId="0" applyNumberFormat="1" applyFont="1" applyBorder="1"/>
    <xf numFmtId="184" fontId="287" fillId="0" borderId="10" xfId="0" applyFont="1" applyBorder="1"/>
    <xf numFmtId="184" fontId="287" fillId="0" borderId="13" xfId="0" applyFont="1" applyBorder="1"/>
    <xf numFmtId="184" fontId="287" fillId="0" borderId="15" xfId="0" applyFont="1" applyBorder="1" applyAlignment="1">
      <alignment wrapText="1"/>
    </xf>
    <xf numFmtId="184" fontId="287" fillId="4" borderId="6" xfId="0" applyFont="1" applyFill="1" applyBorder="1" applyAlignment="1">
      <alignment horizontal="center"/>
    </xf>
    <xf numFmtId="184" fontId="287" fillId="4" borderId="7" xfId="0" applyFont="1" applyFill="1" applyBorder="1" applyAlignment="1">
      <alignment horizontal="center"/>
    </xf>
    <xf numFmtId="184" fontId="287" fillId="4" borderId="8" xfId="0" applyFont="1" applyFill="1" applyBorder="1" applyAlignment="1">
      <alignment horizontal="center"/>
    </xf>
    <xf numFmtId="3" fontId="251" fillId="2" borderId="1" xfId="0" applyNumberFormat="1" applyFont="1" applyFill="1" applyBorder="1" applyAlignment="1" applyProtection="1">
      <alignment horizontal="center" wrapText="1"/>
      <protection locked="0"/>
    </xf>
    <xf numFmtId="3" fontId="251" fillId="2" borderId="1" xfId="0" quotePrefix="1" applyNumberFormat="1" applyFont="1" applyFill="1" applyBorder="1" applyAlignment="1" applyProtection="1">
      <alignment horizontal="center"/>
      <protection locked="0"/>
    </xf>
    <xf numFmtId="0" fontId="251" fillId="2" borderId="1" xfId="0" applyNumberFormat="1" applyFont="1" applyFill="1" applyBorder="1" applyAlignment="1" applyProtection="1">
      <alignment horizontal="center" wrapText="1"/>
      <protection locked="0"/>
    </xf>
    <xf numFmtId="184" fontId="287" fillId="4" borderId="23" xfId="0" applyFont="1" applyFill="1" applyBorder="1" applyAlignment="1">
      <alignment horizontal="center"/>
    </xf>
    <xf numFmtId="3" fontId="251" fillId="6" borderId="1" xfId="0" applyNumberFormat="1" applyFont="1" applyFill="1" applyBorder="1" applyAlignment="1">
      <alignment horizontal="center" wrapText="1"/>
    </xf>
    <xf numFmtId="3" fontId="251" fillId="6" borderId="1" xfId="0" applyNumberFormat="1" applyFont="1" applyFill="1" applyBorder="1" applyAlignment="1">
      <alignment horizontal="center"/>
    </xf>
    <xf numFmtId="178" fontId="251" fillId="0" borderId="10" xfId="0" applyNumberFormat="1" applyFont="1" applyBorder="1"/>
    <xf numFmtId="180" fontId="251" fillId="2" borderId="1" xfId="0" applyNumberFormat="1" applyFont="1" applyFill="1" applyBorder="1" applyAlignment="1" applyProtection="1">
      <alignment horizontal="center"/>
      <protection locked="0"/>
    </xf>
    <xf numFmtId="178" fontId="251" fillId="0" borderId="13" xfId="0" applyNumberFormat="1" applyFont="1" applyBorder="1"/>
    <xf numFmtId="178" fontId="251" fillId="0" borderId="15" xfId="0" applyNumberFormat="1" applyFont="1" applyBorder="1"/>
    <xf numFmtId="2" fontId="289" fillId="6" borderId="60" xfId="1815" applyNumberFormat="1" applyFont="1" applyFill="1" applyBorder="1" applyAlignment="1">
      <alignment horizontal="center"/>
    </xf>
    <xf numFmtId="3" fontId="251" fillId="2" borderId="1" xfId="0" applyNumberFormat="1" applyFont="1" applyFill="1" applyBorder="1" applyAlignment="1" applyProtection="1">
      <alignment horizontal="center"/>
      <protection locked="0"/>
    </xf>
    <xf numFmtId="3" fontId="251" fillId="6" borderId="1" xfId="0" applyNumberFormat="1" applyFont="1" applyFill="1" applyBorder="1" applyAlignment="1" applyProtection="1">
      <alignment horizontal="center" wrapText="1"/>
      <protection locked="0"/>
    </xf>
    <xf numFmtId="3" fontId="251" fillId="6" borderId="1" xfId="0" quotePrefix="1" applyNumberFormat="1" applyFont="1" applyFill="1" applyBorder="1" applyAlignment="1" applyProtection="1">
      <alignment horizontal="center"/>
      <protection locked="0"/>
    </xf>
    <xf numFmtId="184" fontId="251" fillId="0" borderId="10" xfId="0" applyFont="1" applyBorder="1" applyAlignment="1">
      <alignment vertical="center"/>
    </xf>
    <xf numFmtId="3" fontId="251" fillId="2" borderId="12" xfId="0" applyNumberFormat="1" applyFont="1" applyFill="1" applyBorder="1" applyAlignment="1" applyProtection="1">
      <alignment vertical="center"/>
      <protection locked="0"/>
    </xf>
    <xf numFmtId="184" fontId="251" fillId="0" borderId="13" xfId="0" applyFont="1" applyBorder="1" applyAlignment="1">
      <alignment vertical="center"/>
    </xf>
    <xf numFmtId="184" fontId="251" fillId="0" borderId="15" xfId="0" applyFont="1" applyBorder="1" applyAlignment="1">
      <alignment vertical="center"/>
    </xf>
    <xf numFmtId="1" fontId="251" fillId="2" borderId="17" xfId="0" applyNumberFormat="1" applyFont="1" applyFill="1" applyBorder="1" applyAlignment="1" applyProtection="1">
      <alignment vertical="center"/>
      <protection locked="0"/>
    </xf>
    <xf numFmtId="185" fontId="251" fillId="2" borderId="12" xfId="0" applyNumberFormat="1" applyFont="1" applyFill="1" applyBorder="1" applyAlignment="1" applyProtection="1">
      <alignment horizontal="center" vertical="center"/>
      <protection locked="0"/>
    </xf>
    <xf numFmtId="185" fontId="288" fillId="2" borderId="17" xfId="0" applyNumberFormat="1" applyFont="1" applyFill="1" applyBorder="1" applyAlignment="1" applyProtection="1">
      <alignment horizontal="center" vertical="center"/>
      <protection locked="0"/>
    </xf>
    <xf numFmtId="184" fontId="287" fillId="0" borderId="6" xfId="0" applyFont="1" applyBorder="1" applyAlignment="1">
      <alignment horizontal="center" vertical="center"/>
    </xf>
    <xf numFmtId="184" fontId="287" fillId="0" borderId="7" xfId="0" applyFont="1" applyBorder="1" applyAlignment="1">
      <alignment horizontal="center" vertical="center"/>
    </xf>
    <xf numFmtId="184" fontId="287" fillId="0" borderId="8" xfId="0" applyFont="1" applyBorder="1" applyAlignment="1">
      <alignment horizontal="center" vertical="center"/>
    </xf>
    <xf numFmtId="184" fontId="251" fillId="0" borderId="3" xfId="0" applyFont="1" applyBorder="1" applyAlignment="1">
      <alignment vertical="center"/>
    </xf>
    <xf numFmtId="14" fontId="251" fillId="2" borderId="3" xfId="0" applyNumberFormat="1" applyFont="1" applyFill="1" applyBorder="1" applyAlignment="1" applyProtection="1">
      <alignment horizontal="center" vertical="center"/>
      <protection locked="0"/>
    </xf>
    <xf numFmtId="184" fontId="251" fillId="0" borderId="0" xfId="0" applyFont="1" applyAlignment="1">
      <alignment vertical="center"/>
    </xf>
    <xf numFmtId="3" fontId="251" fillId="2" borderId="2" xfId="0" applyNumberFormat="1" applyFont="1" applyFill="1" applyBorder="1" applyAlignment="1">
      <alignment horizontal="center" vertical="center"/>
    </xf>
    <xf numFmtId="184" fontId="287" fillId="2" borderId="2" xfId="0" applyFont="1" applyFill="1" applyBorder="1" applyAlignment="1">
      <alignment horizontal="center" vertical="center"/>
    </xf>
    <xf numFmtId="3" fontId="251" fillId="2" borderId="24" xfId="0" applyNumberFormat="1" applyFont="1" applyFill="1" applyBorder="1" applyAlignment="1" applyProtection="1">
      <alignment horizontal="center" vertical="center"/>
      <protection locked="0"/>
    </xf>
    <xf numFmtId="1" fontId="251" fillId="6" borderId="1" xfId="0" applyNumberFormat="1" applyFont="1" applyFill="1" applyBorder="1" applyAlignment="1">
      <alignment horizontal="center" vertical="center"/>
    </xf>
    <xf numFmtId="177" fontId="251" fillId="6" borderId="1" xfId="1" applyNumberFormat="1" applyFont="1" applyFill="1" applyBorder="1" applyAlignment="1">
      <alignment horizontal="center" vertical="center"/>
    </xf>
    <xf numFmtId="1" fontId="251" fillId="2" borderId="1" xfId="0" applyNumberFormat="1" applyFont="1" applyFill="1" applyBorder="1" applyAlignment="1" applyProtection="1">
      <alignment horizontal="center" vertical="center"/>
      <protection locked="0"/>
    </xf>
    <xf numFmtId="184" fontId="287" fillId="6" borderId="1" xfId="0" applyFont="1" applyFill="1" applyBorder="1" applyAlignment="1">
      <alignment horizontal="center" vertical="center"/>
    </xf>
    <xf numFmtId="178" fontId="3" fillId="82" borderId="2" xfId="0" applyNumberFormat="1" applyFont="1" applyFill="1" applyBorder="1" applyAlignment="1" applyProtection="1">
      <alignment horizontal="center" vertical="center"/>
      <protection hidden="1"/>
    </xf>
    <xf numFmtId="184" fontId="3" fillId="0" borderId="2" xfId="0" applyFont="1" applyBorder="1" applyAlignment="1" applyProtection="1">
      <alignment vertical="center"/>
      <protection hidden="1"/>
    </xf>
    <xf numFmtId="184" fontId="251" fillId="2" borderId="1" xfId="0" applyFont="1" applyFill="1" applyBorder="1" applyAlignment="1">
      <alignment horizontal="center"/>
    </xf>
    <xf numFmtId="184" fontId="287" fillId="4" borderId="44" xfId="0" applyFont="1" applyFill="1" applyBorder="1" applyAlignment="1">
      <alignment horizontal="center"/>
    </xf>
    <xf numFmtId="184" fontId="287" fillId="4" borderId="43" xfId="0" applyFont="1" applyFill="1" applyBorder="1" applyAlignment="1">
      <alignment horizontal="center"/>
    </xf>
    <xf numFmtId="185" fontId="290" fillId="2" borderId="12" xfId="0" applyNumberFormat="1" applyFont="1" applyFill="1" applyBorder="1" applyAlignment="1" applyProtection="1">
      <alignment horizontal="center" vertical="center"/>
      <protection locked="0"/>
    </xf>
    <xf numFmtId="184" fontId="287" fillId="4" borderId="42" xfId="0" applyFont="1" applyFill="1" applyBorder="1" applyAlignment="1">
      <alignment horizontal="center"/>
    </xf>
    <xf numFmtId="184" fontId="287" fillId="4" borderId="97" xfId="0" applyFont="1" applyFill="1" applyBorder="1" applyAlignment="1">
      <alignment horizontal="center"/>
    </xf>
    <xf numFmtId="184" fontId="287" fillId="4" borderId="30" xfId="0" applyFont="1" applyFill="1" applyBorder="1" applyAlignment="1">
      <alignment horizontal="center"/>
    </xf>
    <xf numFmtId="184" fontId="287" fillId="4" borderId="31" xfId="0" applyFont="1" applyFill="1" applyBorder="1" applyAlignment="1">
      <alignment horizontal="center"/>
    </xf>
    <xf numFmtId="184" fontId="251" fillId="2" borderId="1" xfId="0" applyFont="1" applyFill="1" applyBorder="1" applyAlignment="1">
      <alignment horizontal="center" wrapText="1"/>
    </xf>
    <xf numFmtId="184" fontId="251" fillId="2" borderId="1" xfId="0" applyFont="1" applyFill="1" applyBorder="1" applyAlignment="1">
      <alignment horizontal="center" vertical="center" wrapText="1"/>
    </xf>
    <xf numFmtId="194" fontId="251" fillId="0" borderId="0" xfId="0" applyNumberFormat="1" applyFont="1" applyAlignment="1">
      <alignment horizontal="center" vertical="center"/>
    </xf>
    <xf numFmtId="15" fontId="0" fillId="0" borderId="0" xfId="0" applyNumberFormat="1"/>
    <xf numFmtId="3" fontId="0" fillId="6" borderId="13" xfId="0" applyNumberFormat="1" applyFill="1" applyBorder="1" applyAlignment="1" applyProtection="1">
      <alignment horizontal="left" vertical="center"/>
      <protection hidden="1"/>
    </xf>
    <xf numFmtId="3" fontId="0" fillId="6" borderId="1" xfId="0" applyNumberFormat="1" applyFill="1" applyBorder="1" applyAlignment="1" applyProtection="1">
      <alignment horizontal="left" vertical="center"/>
      <protection hidden="1"/>
    </xf>
    <xf numFmtId="3" fontId="2" fillId="6" borderId="1" xfId="0" applyNumberFormat="1" applyFont="1" applyFill="1" applyBorder="1" applyAlignment="1" applyProtection="1">
      <alignment horizontal="left" vertical="center"/>
      <protection hidden="1"/>
    </xf>
    <xf numFmtId="184" fontId="84" fillId="0" borderId="0" xfId="0" applyFont="1" applyAlignment="1">
      <alignment horizontal="center"/>
    </xf>
    <xf numFmtId="184" fontId="251" fillId="6" borderId="3" xfId="0" applyFont="1" applyFill="1" applyBorder="1" applyAlignment="1" applyProtection="1">
      <alignment horizontal="center" vertical="center" textRotation="45"/>
      <protection hidden="1"/>
    </xf>
    <xf numFmtId="184" fontId="251" fillId="6" borderId="27" xfId="0" applyFont="1" applyFill="1" applyBorder="1" applyAlignment="1" applyProtection="1">
      <alignment horizontal="center" vertical="center" textRotation="45"/>
      <protection hidden="1"/>
    </xf>
    <xf numFmtId="184" fontId="251" fillId="6" borderId="28" xfId="0" applyFont="1" applyFill="1" applyBorder="1" applyAlignment="1" applyProtection="1">
      <alignment horizontal="center" vertical="center" textRotation="45"/>
      <protection hidden="1"/>
    </xf>
    <xf numFmtId="184" fontId="251" fillId="6" borderId="3" xfId="0" applyFont="1" applyFill="1" applyBorder="1" applyAlignment="1">
      <alignment horizontal="center" vertical="center" textRotation="45"/>
    </xf>
    <xf numFmtId="184" fontId="251" fillId="6" borderId="27" xfId="0" applyFont="1" applyFill="1" applyBorder="1" applyAlignment="1">
      <alignment horizontal="center" vertical="center" textRotation="45"/>
    </xf>
    <xf numFmtId="184" fontId="251" fillId="6" borderId="28" xfId="0" applyFont="1" applyFill="1" applyBorder="1" applyAlignment="1">
      <alignment horizontal="center" vertical="center" textRotation="45"/>
    </xf>
    <xf numFmtId="184" fontId="287" fillId="38" borderId="21" xfId="0" applyFont="1" applyFill="1" applyBorder="1" applyAlignment="1">
      <alignment horizontal="center" vertical="center"/>
    </xf>
    <xf numFmtId="184" fontId="287" fillId="38" borderId="22" xfId="0" applyFont="1" applyFill="1" applyBorder="1" applyAlignment="1">
      <alignment horizontal="center" vertical="center"/>
    </xf>
    <xf numFmtId="184" fontId="287" fillId="38" borderId="9" xfId="0" applyFont="1" applyFill="1" applyBorder="1" applyAlignment="1">
      <alignment horizontal="center" vertical="center"/>
    </xf>
    <xf numFmtId="184" fontId="287" fillId="38" borderId="1" xfId="0" applyFont="1" applyFill="1" applyBorder="1" applyAlignment="1">
      <alignment horizontal="center" vertical="center"/>
    </xf>
    <xf numFmtId="184" fontId="251" fillId="0" borderId="44" xfId="0" applyFont="1" applyBorder="1" applyAlignment="1">
      <alignment horizontal="center" vertical="center"/>
    </xf>
    <xf numFmtId="184" fontId="251" fillId="0" borderId="43" xfId="0" applyFont="1" applyBorder="1" applyAlignment="1">
      <alignment horizontal="center" vertical="center"/>
    </xf>
    <xf numFmtId="184" fontId="24" fillId="0" borderId="0" xfId="0" applyFont="1" applyAlignment="1">
      <alignment horizontal="center"/>
    </xf>
    <xf numFmtId="184" fontId="2" fillId="6" borderId="3" xfId="0" applyFont="1" applyFill="1" applyBorder="1" applyAlignment="1" applyProtection="1">
      <alignment horizontal="center" vertical="center" textRotation="45"/>
      <protection hidden="1"/>
    </xf>
    <xf numFmtId="184" fontId="2" fillId="6" borderId="27" xfId="0" applyFont="1" applyFill="1" applyBorder="1" applyAlignment="1" applyProtection="1">
      <alignment horizontal="center" vertical="center" textRotation="45"/>
      <protection hidden="1"/>
    </xf>
    <xf numFmtId="184" fontId="2" fillId="6" borderId="28" xfId="0" applyFont="1" applyFill="1" applyBorder="1" applyAlignment="1" applyProtection="1">
      <alignment horizontal="center" vertical="center" textRotation="45"/>
      <protection hidden="1"/>
    </xf>
    <xf numFmtId="3" fontId="2" fillId="6" borderId="20" xfId="0" applyNumberFormat="1" applyFont="1" applyFill="1" applyBorder="1" applyAlignment="1" applyProtection="1">
      <alignment horizontal="center" vertical="center"/>
      <protection hidden="1"/>
    </xf>
    <xf numFmtId="0" fontId="2" fillId="6" borderId="92" xfId="0" applyNumberFormat="1" applyFont="1" applyFill="1" applyBorder="1" applyAlignment="1" applyProtection="1">
      <alignment horizontal="center" vertical="center"/>
      <protection hidden="1"/>
    </xf>
    <xf numFmtId="0" fontId="2" fillId="6" borderId="93" xfId="0" applyNumberFormat="1" applyFont="1" applyFill="1" applyBorder="1" applyAlignment="1" applyProtection="1">
      <alignment horizontal="center" vertical="center"/>
      <protection hidden="1"/>
    </xf>
    <xf numFmtId="3" fontId="2" fillId="6" borderId="70" xfId="0" applyNumberFormat="1" applyFont="1" applyFill="1" applyBorder="1" applyAlignment="1" applyProtection="1">
      <alignment horizontal="center" vertical="center"/>
      <protection hidden="1"/>
    </xf>
    <xf numFmtId="0" fontId="2" fillId="6" borderId="68" xfId="0" applyNumberFormat="1" applyFont="1" applyFill="1" applyBorder="1" applyAlignment="1" applyProtection="1">
      <alignment horizontal="center" vertical="center"/>
      <protection hidden="1"/>
    </xf>
    <xf numFmtId="0" fontId="2" fillId="6" borderId="71" xfId="0" applyNumberFormat="1" applyFont="1" applyFill="1" applyBorder="1" applyAlignment="1" applyProtection="1">
      <alignment horizontal="center" vertical="center"/>
      <protection hidden="1"/>
    </xf>
    <xf numFmtId="3" fontId="0" fillId="6" borderId="19" xfId="0" applyNumberFormat="1" applyFill="1" applyBorder="1" applyAlignment="1" applyProtection="1">
      <alignment horizontal="center" vertical="center"/>
      <protection hidden="1"/>
    </xf>
    <xf numFmtId="3" fontId="0" fillId="6" borderId="68" xfId="0" applyNumberFormat="1" applyFill="1" applyBorder="1" applyAlignment="1" applyProtection="1">
      <alignment horizontal="center" vertical="center"/>
      <protection hidden="1"/>
    </xf>
    <xf numFmtId="3" fontId="0" fillId="6" borderId="69" xfId="0" applyNumberFormat="1" applyFill="1" applyBorder="1" applyAlignment="1" applyProtection="1">
      <alignment horizontal="center" vertical="center"/>
      <protection hidden="1"/>
    </xf>
    <xf numFmtId="3" fontId="2" fillId="0" borderId="70" xfId="0" applyNumberFormat="1" applyFont="1" applyBorder="1" applyAlignment="1" applyProtection="1">
      <alignment horizontal="center" vertical="center"/>
      <protection hidden="1"/>
    </xf>
    <xf numFmtId="3" fontId="2" fillId="0" borderId="68" xfId="0" applyNumberFormat="1" applyFont="1" applyBorder="1" applyAlignment="1" applyProtection="1">
      <alignment horizontal="center" vertical="center"/>
      <protection hidden="1"/>
    </xf>
    <xf numFmtId="3" fontId="2" fillId="0" borderId="71" xfId="0" applyNumberFormat="1" applyFont="1" applyBorder="1" applyAlignment="1" applyProtection="1">
      <alignment horizontal="center" vertical="center"/>
      <protection hidden="1"/>
    </xf>
    <xf numFmtId="0" fontId="0" fillId="6" borderId="68" xfId="0" applyNumberFormat="1" applyFill="1" applyBorder="1" applyAlignment="1" applyProtection="1">
      <alignment horizontal="center" vertical="center"/>
      <protection hidden="1"/>
    </xf>
    <xf numFmtId="0" fontId="0" fillId="6" borderId="69" xfId="0" applyNumberFormat="1" applyFill="1" applyBorder="1" applyAlignment="1" applyProtection="1">
      <alignment horizontal="center" vertical="center"/>
      <protection hidden="1"/>
    </xf>
    <xf numFmtId="0" fontId="0" fillId="6" borderId="19" xfId="0" applyNumberFormat="1" applyFill="1" applyBorder="1" applyAlignment="1" applyProtection="1">
      <alignment horizontal="center" vertical="center"/>
      <protection hidden="1"/>
    </xf>
    <xf numFmtId="0" fontId="2" fillId="0" borderId="70" xfId="0" applyNumberFormat="1" applyFont="1" applyBorder="1" applyAlignment="1" applyProtection="1">
      <alignment horizontal="center" vertical="center"/>
      <protection hidden="1"/>
    </xf>
    <xf numFmtId="0" fontId="2" fillId="0" borderId="68" xfId="0" applyNumberFormat="1" applyFont="1" applyBorder="1" applyAlignment="1" applyProtection="1">
      <alignment horizontal="center" vertical="center"/>
      <protection hidden="1"/>
    </xf>
    <xf numFmtId="0" fontId="2" fillId="0" borderId="71" xfId="0" applyNumberFormat="1" applyFont="1" applyBorder="1" applyAlignment="1" applyProtection="1">
      <alignment horizontal="center" vertical="center"/>
      <protection hidden="1"/>
    </xf>
    <xf numFmtId="3" fontId="3" fillId="5" borderId="42" xfId="0" applyNumberFormat="1" applyFont="1" applyFill="1" applyBorder="1" applyAlignment="1" applyProtection="1">
      <alignment horizontal="center" vertical="center"/>
      <protection hidden="1"/>
    </xf>
    <xf numFmtId="3" fontId="3" fillId="5" borderId="43" xfId="0" applyNumberFormat="1" applyFont="1" applyFill="1" applyBorder="1" applyAlignment="1" applyProtection="1">
      <alignment horizontal="center" vertical="center"/>
      <protection hidden="1"/>
    </xf>
    <xf numFmtId="0" fontId="0" fillId="0" borderId="19" xfId="0" applyNumberFormat="1" applyBorder="1" applyAlignment="1" applyProtection="1">
      <alignment horizontal="center" vertical="center"/>
      <protection hidden="1"/>
    </xf>
    <xf numFmtId="0" fontId="0" fillId="0" borderId="68" xfId="0" applyNumberFormat="1" applyBorder="1" applyAlignment="1" applyProtection="1">
      <alignment horizontal="center" vertical="center"/>
      <protection hidden="1"/>
    </xf>
    <xf numFmtId="0" fontId="0" fillId="0" borderId="69" xfId="0" applyNumberFormat="1" applyBorder="1" applyAlignment="1" applyProtection="1">
      <alignment horizontal="center" vertical="center"/>
      <protection hidden="1"/>
    </xf>
    <xf numFmtId="3" fontId="2" fillId="6" borderId="68" xfId="0" applyNumberFormat="1" applyFont="1" applyFill="1" applyBorder="1" applyAlignment="1" applyProtection="1">
      <alignment horizontal="center" vertical="center"/>
      <protection hidden="1"/>
    </xf>
    <xf numFmtId="3" fontId="2" fillId="6" borderId="71" xfId="0" applyNumberFormat="1" applyFont="1" applyFill="1" applyBorder="1" applyAlignment="1" applyProtection="1">
      <alignment horizontal="center" vertical="center"/>
      <protection hidden="1"/>
    </xf>
    <xf numFmtId="3" fontId="0" fillId="6" borderId="13" xfId="0" applyNumberFormat="1" applyFill="1" applyBorder="1" applyAlignment="1" applyProtection="1">
      <alignment horizontal="center" vertical="center"/>
      <protection hidden="1"/>
    </xf>
    <xf numFmtId="0" fontId="0" fillId="6" borderId="1" xfId="0" applyNumberFormat="1" applyFill="1" applyBorder="1" applyAlignment="1" applyProtection="1">
      <alignment horizontal="center" vertical="center"/>
      <protection hidden="1"/>
    </xf>
    <xf numFmtId="3" fontId="2" fillId="6" borderId="1" xfId="0" applyNumberFormat="1" applyFont="1" applyFill="1" applyBorder="1" applyAlignment="1" applyProtection="1">
      <alignment horizontal="center" vertical="center"/>
      <protection hidden="1"/>
    </xf>
    <xf numFmtId="0" fontId="2" fillId="6" borderId="1" xfId="0" applyNumberFormat="1" applyFont="1" applyFill="1" applyBorder="1" applyAlignment="1" applyProtection="1">
      <alignment horizontal="center" vertical="center"/>
      <protection hidden="1"/>
    </xf>
    <xf numFmtId="0" fontId="2" fillId="6" borderId="14" xfId="0" applyNumberFormat="1" applyFont="1" applyFill="1" applyBorder="1" applyAlignment="1" applyProtection="1">
      <alignment horizontal="center" vertical="center"/>
      <protection hidden="1"/>
    </xf>
    <xf numFmtId="184" fontId="3" fillId="5" borderId="44" xfId="0" applyFont="1" applyFill="1" applyBorder="1" applyAlignment="1" applyProtection="1">
      <alignment horizontal="center" vertical="center"/>
      <protection hidden="1"/>
    </xf>
    <xf numFmtId="184" fontId="3" fillId="5" borderId="42" xfId="0" applyFont="1" applyFill="1" applyBorder="1" applyAlignment="1" applyProtection="1">
      <alignment horizontal="center" vertical="center"/>
      <protection hidden="1"/>
    </xf>
    <xf numFmtId="3" fontId="0" fillId="6" borderId="20" xfId="0" applyNumberFormat="1" applyFill="1" applyBorder="1" applyAlignment="1" applyProtection="1">
      <alignment horizontal="center" vertical="center"/>
      <protection hidden="1"/>
    </xf>
    <xf numFmtId="3" fontId="0" fillId="6" borderId="92" xfId="0" applyNumberFormat="1" applyFill="1" applyBorder="1" applyAlignment="1" applyProtection="1">
      <alignment horizontal="center" vertical="center"/>
      <protection hidden="1"/>
    </xf>
    <xf numFmtId="3" fontId="0" fillId="6" borderId="93" xfId="0" applyNumberFormat="1" applyFill="1" applyBorder="1" applyAlignment="1" applyProtection="1">
      <alignment horizontal="center" vertical="center"/>
      <protection hidden="1"/>
    </xf>
    <xf numFmtId="3" fontId="0" fillId="0" borderId="19" xfId="0" applyNumberFormat="1" applyBorder="1" applyAlignment="1" applyProtection="1">
      <alignment horizontal="center" vertical="center"/>
      <protection hidden="1"/>
    </xf>
    <xf numFmtId="184" fontId="2" fillId="6" borderId="21" xfId="0" applyFont="1" applyFill="1" applyBorder="1" applyAlignment="1" applyProtection="1">
      <alignment horizontal="center" vertical="center" textRotation="45"/>
      <protection hidden="1"/>
    </xf>
    <xf numFmtId="184" fontId="2" fillId="6" borderId="22" xfId="0" applyFont="1" applyFill="1" applyBorder="1" applyAlignment="1" applyProtection="1">
      <alignment horizontal="center" vertical="center" textRotation="45"/>
      <protection hidden="1"/>
    </xf>
    <xf numFmtId="184" fontId="2" fillId="6" borderId="57" xfId="0" applyFont="1" applyFill="1" applyBorder="1" applyAlignment="1" applyProtection="1">
      <alignment horizontal="center" vertical="center" textRotation="45"/>
      <protection hidden="1"/>
    </xf>
    <xf numFmtId="184" fontId="2" fillId="6" borderId="23" xfId="0" applyFont="1" applyFill="1" applyBorder="1" applyAlignment="1" applyProtection="1">
      <alignment horizontal="center" vertical="center" textRotation="45"/>
      <protection hidden="1"/>
    </xf>
    <xf numFmtId="184" fontId="2" fillId="6" borderId="0" xfId="0" applyFont="1" applyFill="1" applyAlignment="1" applyProtection="1">
      <alignment horizontal="center" vertical="center" textRotation="45"/>
      <protection hidden="1"/>
    </xf>
    <xf numFmtId="184" fontId="2" fillId="6" borderId="58" xfId="0" applyFont="1" applyFill="1" applyBorder="1" applyAlignment="1" applyProtection="1">
      <alignment horizontal="center" vertical="center" textRotation="45"/>
      <protection hidden="1"/>
    </xf>
    <xf numFmtId="0" fontId="0" fillId="6" borderId="13" xfId="0" applyNumberFormat="1" applyFill="1" applyBorder="1" applyAlignment="1" applyProtection="1">
      <alignment horizontal="center" vertical="center"/>
      <protection hidden="1"/>
    </xf>
    <xf numFmtId="3" fontId="2" fillId="6" borderId="94" xfId="0" applyNumberFormat="1" applyFont="1" applyFill="1" applyBorder="1" applyAlignment="1" applyProtection="1">
      <alignment horizontal="center" vertical="center"/>
      <protection hidden="1"/>
    </xf>
    <xf numFmtId="0" fontId="2" fillId="6" borderId="86" xfId="0" applyNumberFormat="1" applyFont="1" applyFill="1" applyBorder="1" applyAlignment="1" applyProtection="1">
      <alignment horizontal="center" vertical="center"/>
      <protection hidden="1"/>
    </xf>
    <xf numFmtId="3" fontId="2" fillId="0" borderId="88" xfId="0" applyNumberFormat="1" applyFont="1" applyBorder="1" applyAlignment="1" applyProtection="1">
      <alignment horizontal="center" vertical="center"/>
      <protection hidden="1"/>
    </xf>
    <xf numFmtId="0" fontId="2" fillId="0" borderId="89" xfId="0" applyNumberFormat="1" applyFont="1" applyBorder="1" applyAlignment="1" applyProtection="1">
      <alignment horizontal="center" vertical="center"/>
      <protection hidden="1"/>
    </xf>
    <xf numFmtId="0" fontId="2" fillId="0" borderId="90" xfId="0" applyNumberFormat="1" applyFont="1" applyBorder="1" applyAlignment="1" applyProtection="1">
      <alignment horizontal="center" vertical="center"/>
      <protection hidden="1"/>
    </xf>
    <xf numFmtId="184" fontId="3" fillId="5" borderId="43" xfId="0" applyFont="1" applyFill="1" applyBorder="1" applyAlignment="1" applyProtection="1">
      <alignment horizontal="center" vertical="center"/>
      <protection hidden="1"/>
    </xf>
    <xf numFmtId="184" fontId="6" fillId="5" borderId="44" xfId="0" applyFont="1" applyFill="1" applyBorder="1" applyAlignment="1" applyProtection="1">
      <alignment horizontal="center" vertical="center"/>
      <protection hidden="1"/>
    </xf>
    <xf numFmtId="184" fontId="6" fillId="5" borderId="42" xfId="0" applyFont="1" applyFill="1" applyBorder="1" applyAlignment="1" applyProtection="1">
      <alignment horizontal="center" vertical="center"/>
      <protection hidden="1"/>
    </xf>
    <xf numFmtId="3" fontId="0" fillId="6" borderId="10" xfId="0" applyNumberFormat="1" applyFill="1" applyBorder="1" applyAlignment="1" applyProtection="1">
      <alignment horizontal="center" vertical="center"/>
      <protection hidden="1"/>
    </xf>
    <xf numFmtId="0" fontId="0" fillId="6" borderId="11" xfId="0" applyNumberFormat="1" applyFill="1" applyBorder="1" applyAlignment="1" applyProtection="1">
      <alignment horizontal="center" vertical="center"/>
      <protection hidden="1"/>
    </xf>
    <xf numFmtId="184" fontId="26" fillId="6" borderId="0" xfId="0" applyFont="1" applyFill="1" applyAlignment="1" applyProtection="1">
      <alignment horizontal="center" vertical="center"/>
      <protection hidden="1"/>
    </xf>
    <xf numFmtId="0" fontId="3" fillId="5" borderId="42" xfId="0" applyNumberFormat="1" applyFont="1" applyFill="1" applyBorder="1" applyAlignment="1" applyProtection="1">
      <alignment horizontal="center" vertical="center"/>
      <protection hidden="1"/>
    </xf>
    <xf numFmtId="0" fontId="3" fillId="5" borderId="43" xfId="0" applyNumberFormat="1" applyFont="1" applyFill="1" applyBorder="1" applyAlignment="1" applyProtection="1">
      <alignment horizontal="center" vertical="center"/>
      <protection hidden="1"/>
    </xf>
    <xf numFmtId="3" fontId="2" fillId="0" borderId="1" xfId="0" applyNumberFormat="1" applyFont="1" applyBorder="1" applyAlignment="1" applyProtection="1">
      <alignment horizontal="center" vertical="center"/>
      <protection hidden="1"/>
    </xf>
    <xf numFmtId="0" fontId="2" fillId="0" borderId="1" xfId="0" applyNumberFormat="1" applyFont="1" applyBorder="1" applyAlignment="1" applyProtection="1">
      <alignment horizontal="center" vertical="center"/>
      <protection hidden="1"/>
    </xf>
    <xf numFmtId="0" fontId="2" fillId="0" borderId="14" xfId="0" applyNumberFormat="1" applyFont="1" applyBorder="1" applyAlignment="1" applyProtection="1">
      <alignment horizontal="center" vertical="center"/>
      <protection hidden="1"/>
    </xf>
    <xf numFmtId="3" fontId="0" fillId="0" borderId="13" xfId="0" applyNumberFormat="1" applyBorder="1" applyAlignment="1" applyProtection="1">
      <alignment horizontal="center" vertical="center"/>
      <protection hidden="1"/>
    </xf>
    <xf numFmtId="0" fontId="0" fillId="0" borderId="1" xfId="0" applyNumberFormat="1" applyBorder="1" applyAlignment="1" applyProtection="1">
      <alignment horizontal="center" vertical="center"/>
      <protection hidden="1"/>
    </xf>
    <xf numFmtId="3" fontId="0" fillId="6" borderId="13" xfId="0" applyNumberFormat="1" applyFill="1" applyBorder="1" applyAlignment="1" applyProtection="1">
      <alignment horizontal="left" vertical="center"/>
      <protection hidden="1"/>
    </xf>
    <xf numFmtId="3" fontId="0" fillId="6" borderId="1" xfId="0" applyNumberFormat="1" applyFill="1" applyBorder="1" applyAlignment="1" applyProtection="1">
      <alignment horizontal="left" vertical="center"/>
      <protection hidden="1"/>
    </xf>
    <xf numFmtId="184" fontId="3" fillId="5" borderId="91" xfId="0" applyFont="1" applyFill="1" applyBorder="1" applyAlignment="1" applyProtection="1">
      <alignment horizontal="center" vertical="center"/>
      <protection hidden="1"/>
    </xf>
    <xf numFmtId="184" fontId="3" fillId="5" borderId="72" xfId="0" applyFont="1" applyFill="1" applyBorder="1" applyAlignment="1" applyProtection="1">
      <alignment horizontal="center" vertical="center"/>
      <protection hidden="1"/>
    </xf>
    <xf numFmtId="3" fontId="2" fillId="6" borderId="1" xfId="0" applyNumberFormat="1" applyFont="1" applyFill="1" applyBorder="1" applyAlignment="1" applyProtection="1">
      <alignment horizontal="left" vertical="center"/>
      <protection hidden="1"/>
    </xf>
    <xf numFmtId="184" fontId="2" fillId="6" borderId="3" xfId="0" applyFont="1" applyFill="1" applyBorder="1" applyAlignment="1" applyProtection="1">
      <alignment horizontal="center" vertical="center" textRotation="45" wrapText="1"/>
      <protection hidden="1"/>
    </xf>
    <xf numFmtId="184" fontId="2" fillId="6" borderId="27" xfId="0" applyFont="1" applyFill="1" applyBorder="1" applyAlignment="1" applyProtection="1">
      <alignment horizontal="center" vertical="center" textRotation="45" wrapText="1"/>
      <protection hidden="1"/>
    </xf>
    <xf numFmtId="184" fontId="2" fillId="6" borderId="28" xfId="0" applyFont="1" applyFill="1" applyBorder="1" applyAlignment="1" applyProtection="1">
      <alignment horizontal="center" vertical="center" textRotation="45" wrapText="1"/>
      <protection hidden="1"/>
    </xf>
    <xf numFmtId="184" fontId="3" fillId="5" borderId="21" xfId="0" applyFont="1" applyFill="1" applyBorder="1" applyAlignment="1" applyProtection="1">
      <alignment horizontal="center" vertical="center"/>
      <protection hidden="1"/>
    </xf>
    <xf numFmtId="3" fontId="2" fillId="6" borderId="92" xfId="0" applyNumberFormat="1" applyFont="1" applyFill="1" applyBorder="1" applyAlignment="1" applyProtection="1">
      <alignment horizontal="center" vertical="center"/>
      <protection hidden="1"/>
    </xf>
    <xf numFmtId="3" fontId="2" fillId="6" borderId="86" xfId="0" applyNumberFormat="1" applyFont="1" applyFill="1" applyBorder="1" applyAlignment="1" applyProtection="1">
      <alignment horizontal="center" vertical="center"/>
      <protection hidden="1"/>
    </xf>
    <xf numFmtId="3" fontId="0" fillId="6" borderId="19" xfId="0" applyNumberFormat="1" applyFill="1" applyBorder="1" applyAlignment="1" applyProtection="1">
      <alignment horizontal="left" vertical="center"/>
      <protection hidden="1"/>
    </xf>
    <xf numFmtId="184" fontId="0" fillId="0" borderId="69" xfId="0" applyBorder="1" applyAlignment="1">
      <alignment horizontal="left" vertical="center"/>
    </xf>
    <xf numFmtId="3" fontId="2" fillId="6" borderId="88" xfId="0" applyNumberFormat="1" applyFont="1" applyFill="1" applyBorder="1" applyAlignment="1" applyProtection="1">
      <alignment horizontal="left" vertical="center"/>
      <protection hidden="1"/>
    </xf>
    <xf numFmtId="184" fontId="0" fillId="0" borderId="98" xfId="0" applyBorder="1" applyAlignment="1">
      <alignment horizontal="left" vertical="center"/>
    </xf>
  </cellXfs>
  <cellStyles count="9452">
    <cellStyle name="20 % - Akzent1 2" xfId="8989" xr:uid="{BFB93012-ED4F-4210-AE0F-3BA8166DCB3D}"/>
    <cellStyle name="20 % - Akzent1 2 2" xfId="8990" xr:uid="{0846E8F5-4105-4BEC-B473-354B271EE088}"/>
    <cellStyle name="20 % - Akzent1 2 2 2" xfId="8991" xr:uid="{2E966E51-B740-46FB-96DE-EC65E2517605}"/>
    <cellStyle name="20 % - Akzent1 2 2 2 2" xfId="8992" xr:uid="{6D47BA6B-4CD1-41AF-A700-200D1B06FD6A}"/>
    <cellStyle name="20 % - Akzent1 2 2 2 3" xfId="9234" xr:uid="{CFB65AF3-F8F2-41E0-B5BD-72F1C95BAC2F}"/>
    <cellStyle name="20 % - Akzent1 2 2 3" xfId="8993" xr:uid="{63252893-F3D3-42D3-84D6-0E22FC2EC6B4}"/>
    <cellStyle name="20 % - Akzent1 2 2 3 2" xfId="9294" xr:uid="{40A94125-E5B6-463C-875F-05ACE1724C03}"/>
    <cellStyle name="20 % - Akzent1 2 2 4" xfId="8994" xr:uid="{586FAF14-82D9-4AD8-8E98-84CD81BA7B25}"/>
    <cellStyle name="20 % - Akzent1 2 2 4 2" xfId="9324" xr:uid="{E7921473-65B5-4BA4-823C-61DB722C7D3C}"/>
    <cellStyle name="20 % - Akzent1 2 2 5" xfId="8995" xr:uid="{18F7A2D9-BAAB-4CE8-AC99-AEDE3D4A020C}"/>
    <cellStyle name="20 % - Akzent1 2 2 6" xfId="9224" xr:uid="{4B852C42-F957-42A2-B4BC-332284029106}"/>
    <cellStyle name="20 % - Akzent1 2 3" xfId="8996" xr:uid="{2AB8CCE9-4BA2-4246-9C9F-00A1E21D2105}"/>
    <cellStyle name="20 % - Akzent1 2 3 2" xfId="8997" xr:uid="{0A69BD7D-CD42-4F20-8649-993A25110F5B}"/>
    <cellStyle name="20 % - Akzent1 2 3 2 2" xfId="8998" xr:uid="{CBFFEFDD-2701-416B-8E87-4EBF7775694D}"/>
    <cellStyle name="20 % - Akzent1 2 3 2 3" xfId="9235" xr:uid="{49BE26D2-E4AE-49C5-91FD-A82AD22872E8}"/>
    <cellStyle name="20 % - Akzent1 2 3 3" xfId="8999" xr:uid="{FBADD2BF-19BC-4875-91F1-E297BC21CEC2}"/>
    <cellStyle name="20 % - Akzent1 2 3 3 2" xfId="9284" xr:uid="{F0001364-F4B6-4136-9C69-8A0FC5532C35}"/>
    <cellStyle name="20 % - Akzent1 2 3 4" xfId="9000" xr:uid="{636BE3C8-F870-4C36-AA04-8DEA3CF8C724}"/>
    <cellStyle name="20 % - Akzent1 2 3 4 2" xfId="9314" xr:uid="{246263D1-0B82-4B03-AA60-5408EEF48AD3}"/>
    <cellStyle name="20 % - Akzent1 2 3 5" xfId="9001" xr:uid="{E66563E1-13DA-475A-BEC8-94DA8E5BC611}"/>
    <cellStyle name="20 % - Akzent1 2 3 6" xfId="9214" xr:uid="{3B41541E-9544-49B0-96C5-0794F352D143}"/>
    <cellStyle name="20 % - Akzent1 2 4" xfId="9002" xr:uid="{4A6CCD6E-AC5D-4E8F-B25D-6C0506504C4B}"/>
    <cellStyle name="20 % - Akzent1 2 4 2" xfId="9003" xr:uid="{071F0F2E-DE9E-4DA6-91D5-4583C50EE946}"/>
    <cellStyle name="20 % - Akzent1 2 4 3" xfId="9236" xr:uid="{B8579666-6E7B-4CF9-8C29-DEAA5A8BAB0C}"/>
    <cellStyle name="20 % - Akzent1 2 5" xfId="9004" xr:uid="{78D1E02B-D566-492A-A267-0EA13E21A748}"/>
    <cellStyle name="20 % - Akzent1 2 5 2" xfId="9005" xr:uid="{2C25F2C4-C9CD-467E-8EFC-262A34EA3DD9}"/>
    <cellStyle name="20 % - Akzent1 2 5 3" xfId="9237" xr:uid="{5DCAF5E4-2664-485D-A890-2F6C8FB28A44}"/>
    <cellStyle name="20 % - Akzent1 2 6" xfId="9006" xr:uid="{38786E22-53F9-41E5-8923-DAB0D7FC6B8A}"/>
    <cellStyle name="20 % - Akzent1 2 6 2" xfId="9274" xr:uid="{AE535FCD-451C-4FFE-819A-2EC53099EEB0}"/>
    <cellStyle name="20 % - Akzent1 2 7" xfId="9007" xr:uid="{7DF65783-B566-4975-A1D9-9B32E802C3B9}"/>
    <cellStyle name="20 % - Akzent1 2 7 2" xfId="9304" xr:uid="{B4BBDF97-39CC-4B7C-8AF3-EB1DF4BC1E90}"/>
    <cellStyle name="20 % - Akzent1 2 8" xfId="9008" xr:uid="{4D78C73F-0A0D-49DA-822C-6F7909719EB0}"/>
    <cellStyle name="20 % - Akzent1 2 9" xfId="9203" xr:uid="{41AF2D06-2976-4C21-AC5A-56F078950C74}"/>
    <cellStyle name="20 % - Akzent2 2" xfId="9009" xr:uid="{0980A10B-E9F9-468A-B66A-4A6FDE157276}"/>
    <cellStyle name="20 % - Akzent2 2 2" xfId="9010" xr:uid="{BF4F9DCA-95E5-4E1D-B731-4D18D88B5571}"/>
    <cellStyle name="20 % - Akzent2 2 2 2" xfId="9011" xr:uid="{AFE2B518-8A40-4938-A4EF-F4454D94F4F6}"/>
    <cellStyle name="20 % - Akzent2 2 2 2 2" xfId="9012" xr:uid="{97BC577E-6E8D-4A71-B314-6B589EA5CC74}"/>
    <cellStyle name="20 % - Akzent2 2 2 2 3" xfId="9238" xr:uid="{3E469A70-6221-4E8E-81DD-19EB932798C8}"/>
    <cellStyle name="20 % - Akzent2 2 2 3" xfId="9013" xr:uid="{61E1DEE8-67A8-4552-A7B1-F80749DC40FC}"/>
    <cellStyle name="20 % - Akzent2 2 2 3 2" xfId="9295" xr:uid="{329E4863-4D74-4DD5-AAF6-4909D0BF18ED}"/>
    <cellStyle name="20 % - Akzent2 2 2 4" xfId="9014" xr:uid="{784BEF6E-9E23-4707-81CA-AFD018E8630B}"/>
    <cellStyle name="20 % - Akzent2 2 2 4 2" xfId="9325" xr:uid="{A4DD5621-E2AB-4805-A512-BB0ADE5E082B}"/>
    <cellStyle name="20 % - Akzent2 2 2 5" xfId="9015" xr:uid="{D21E1BAA-BE76-4C3B-9183-DBB7F71185E6}"/>
    <cellStyle name="20 % - Akzent2 2 2 6" xfId="9225" xr:uid="{CC2F536A-4C84-4E3F-8005-DAD8B44023DA}"/>
    <cellStyle name="20 % - Akzent2 2 3" xfId="9016" xr:uid="{F3F778E4-F8CD-499A-A2AC-0871B297AE1E}"/>
    <cellStyle name="20 % - Akzent2 2 3 2" xfId="9017" xr:uid="{D6E70051-FA70-40D6-A1A1-E2540D9919D9}"/>
    <cellStyle name="20 % - Akzent2 2 3 2 2" xfId="9018" xr:uid="{E9B6926C-0F3A-4614-AA50-924DD591138D}"/>
    <cellStyle name="20 % - Akzent2 2 3 2 3" xfId="9239" xr:uid="{7352EF17-7F00-41B2-A85D-BE6049F26E58}"/>
    <cellStyle name="20 % - Akzent2 2 3 3" xfId="9019" xr:uid="{2F2E4375-D7A9-4519-8EE8-780C90E7505A}"/>
    <cellStyle name="20 % - Akzent2 2 3 3 2" xfId="9285" xr:uid="{DE1F281F-5356-498C-908A-7BEF23EFB631}"/>
    <cellStyle name="20 % - Akzent2 2 3 4" xfId="9020" xr:uid="{0B375E98-829F-40F2-9C62-DBE7174AF682}"/>
    <cellStyle name="20 % - Akzent2 2 3 4 2" xfId="9315" xr:uid="{AF9E5EA7-EED5-4BB5-9395-1FB68D1F8A3B}"/>
    <cellStyle name="20 % - Akzent2 2 3 5" xfId="9021" xr:uid="{C426A7E2-2909-404C-BB5A-FADC4CCBBFC8}"/>
    <cellStyle name="20 % - Akzent2 2 3 6" xfId="9215" xr:uid="{AA07D15F-7F77-4D23-A51F-5BCA304157D4}"/>
    <cellStyle name="20 % - Akzent2 2 4" xfId="9022" xr:uid="{0C45336A-B0D7-4D93-A8CF-409E7634FF0B}"/>
    <cellStyle name="20 % - Akzent2 2 4 2" xfId="9023" xr:uid="{9CE98103-A0E1-4884-8668-EAAB99F5B155}"/>
    <cellStyle name="20 % - Akzent2 2 4 3" xfId="9240" xr:uid="{24A7F244-8882-4C3B-9F32-10E5B3E1FC42}"/>
    <cellStyle name="20 % - Akzent2 2 5" xfId="9024" xr:uid="{99B9AAAB-659A-4F8E-9B00-92FE82EE4973}"/>
    <cellStyle name="20 % - Akzent2 2 5 2" xfId="9025" xr:uid="{3B4EA05B-C475-4B37-905A-CB2B9CFA13E2}"/>
    <cellStyle name="20 % - Akzent2 2 5 3" xfId="9241" xr:uid="{A78E245C-3F81-4905-9F6A-76B6817BAF31}"/>
    <cellStyle name="20 % - Akzent2 2 6" xfId="9026" xr:uid="{48ACF186-859A-4C20-8183-6C668088943D}"/>
    <cellStyle name="20 % - Akzent2 2 6 2" xfId="9275" xr:uid="{E18963B1-876D-4881-A14C-5727A6605D9C}"/>
    <cellStyle name="20 % - Akzent2 2 7" xfId="9027" xr:uid="{6C65AD4F-E057-4492-80AA-7D78D4786E38}"/>
    <cellStyle name="20 % - Akzent2 2 7 2" xfId="9305" xr:uid="{122EAF4C-05B1-468E-BC54-486D72571DFA}"/>
    <cellStyle name="20 % - Akzent2 2 8" xfId="9028" xr:uid="{D8B38990-B454-4667-B07A-2CAD80472E84}"/>
    <cellStyle name="20 % - Akzent2 2 9" xfId="9204" xr:uid="{FE8ABCD7-CB77-4DAB-8E8D-3A2F1BAC4A4B}"/>
    <cellStyle name="20 % - Akzent3 2" xfId="9029" xr:uid="{7A6651F8-3D5A-45C8-989F-A583ACE18AE0}"/>
    <cellStyle name="20 % - Akzent3 2 2" xfId="9030" xr:uid="{C24E68E5-3083-426B-A12C-DE3DF3FD9393}"/>
    <cellStyle name="20 % - Akzent3 2 2 2" xfId="9031" xr:uid="{E09C2200-919E-44DD-B758-3D341C248E99}"/>
    <cellStyle name="20 % - Akzent3 2 2 2 2" xfId="9032" xr:uid="{AABC7899-9329-4E27-804E-D930007FEFFA}"/>
    <cellStyle name="20 % - Akzent3 2 2 2 3" xfId="9242" xr:uid="{80ABE27B-8BA4-4F19-A35D-A51597BBA1B5}"/>
    <cellStyle name="20 % - Akzent3 2 2 3" xfId="9033" xr:uid="{D3DAB2B0-06E4-498C-B2F7-14C2EE64BF7A}"/>
    <cellStyle name="20 % - Akzent3 2 2 3 2" xfId="9296" xr:uid="{93CD3806-F00E-4764-BEA4-92A117216F71}"/>
    <cellStyle name="20 % - Akzent3 2 2 4" xfId="9034" xr:uid="{1D3952A8-53E8-4100-AF4D-263245C1350D}"/>
    <cellStyle name="20 % - Akzent3 2 2 4 2" xfId="9326" xr:uid="{B9EF79A2-B9A6-4735-B889-8E2F79DEEA28}"/>
    <cellStyle name="20 % - Akzent3 2 2 5" xfId="9035" xr:uid="{1F470C30-2ACA-40DD-889F-A3501F05DED0}"/>
    <cellStyle name="20 % - Akzent3 2 2 6" xfId="9226" xr:uid="{8D4D8FF0-21FD-4F89-83F3-3E23B7E52C8B}"/>
    <cellStyle name="20 % - Akzent3 2 3" xfId="9036" xr:uid="{E8558C4F-7D1B-4D54-8EEC-2681A3EC6E2D}"/>
    <cellStyle name="20 % - Akzent3 2 3 2" xfId="9037" xr:uid="{AF2DD25F-2A34-4EB9-956E-DF5640517979}"/>
    <cellStyle name="20 % - Akzent3 2 3 2 2" xfId="9038" xr:uid="{FE82758C-B1D7-41F2-A6CD-F356B94E86D2}"/>
    <cellStyle name="20 % - Akzent3 2 3 2 3" xfId="9243" xr:uid="{01587028-3BA7-43AB-86E4-CDD77273FA24}"/>
    <cellStyle name="20 % - Akzent3 2 3 3" xfId="9039" xr:uid="{D8B10B75-DA02-45B8-8260-C1F5BDFEBCC4}"/>
    <cellStyle name="20 % - Akzent3 2 3 3 2" xfId="9286" xr:uid="{6A7F0E14-4DD1-487F-AFB6-C13FA6BE3FD3}"/>
    <cellStyle name="20 % - Akzent3 2 3 4" xfId="9040" xr:uid="{E9D40288-9949-4929-92BA-15BA5F49BA79}"/>
    <cellStyle name="20 % - Akzent3 2 3 4 2" xfId="9316" xr:uid="{CB5DED93-3ABE-4A2E-ADA7-D8FE2B007490}"/>
    <cellStyle name="20 % - Akzent3 2 3 5" xfId="9041" xr:uid="{1A2DE61D-450B-46E7-B4D7-36BA4E0F9813}"/>
    <cellStyle name="20 % - Akzent3 2 3 6" xfId="9216" xr:uid="{7A179259-E223-4406-9627-5E67A2828967}"/>
    <cellStyle name="20 % - Akzent3 2 4" xfId="9042" xr:uid="{26544662-DBC6-4CED-9E3A-65D7EDF66450}"/>
    <cellStyle name="20 % - Akzent3 2 4 2" xfId="9043" xr:uid="{3EDCF31B-1F7C-4D0C-BFB1-61B79107CC54}"/>
    <cellStyle name="20 % - Akzent3 2 4 3" xfId="9244" xr:uid="{A38D271F-C837-4614-B556-B71481BD500A}"/>
    <cellStyle name="20 % - Akzent3 2 5" xfId="9044" xr:uid="{80A84C85-8887-41B5-8481-47BC977972EB}"/>
    <cellStyle name="20 % - Akzent3 2 5 2" xfId="9045" xr:uid="{BAA93928-B82A-4B9B-9457-B1F758070BC3}"/>
    <cellStyle name="20 % - Akzent3 2 5 3" xfId="9245" xr:uid="{5CF66C2F-CD49-459A-A915-12DF0BF6AD19}"/>
    <cellStyle name="20 % - Akzent3 2 6" xfId="9046" xr:uid="{AA1C0FE8-10AC-43CF-879E-67BFD3391FED}"/>
    <cellStyle name="20 % - Akzent3 2 6 2" xfId="9276" xr:uid="{B7917268-8D3D-4181-941F-3F4F2CDC6FC3}"/>
    <cellStyle name="20 % - Akzent3 2 7" xfId="9047" xr:uid="{F48DF3A2-6C8D-4A06-9CD3-E5A96D4D68C9}"/>
    <cellStyle name="20 % - Akzent3 2 7 2" xfId="9306" xr:uid="{F9E40FF2-61D7-4814-8FC9-3CD63F1C4C12}"/>
    <cellStyle name="20 % - Akzent3 2 8" xfId="9048" xr:uid="{6BE7FEF4-457F-49D3-92C9-9679C7F76435}"/>
    <cellStyle name="20 % - Akzent3 2 9" xfId="9205" xr:uid="{C3D38C82-AE3F-4D2C-A60B-3E8B6C75E85D}"/>
    <cellStyle name="20 % - Akzent4 2" xfId="9049" xr:uid="{CBE690FF-4EF3-4D11-863E-9C34AE38F4E8}"/>
    <cellStyle name="20 % - Akzent4 2 2" xfId="9050" xr:uid="{F01C9B52-32E8-4F0B-8DEE-C32AC8DBC52B}"/>
    <cellStyle name="20 % - Akzent4 2 2 2" xfId="9051" xr:uid="{0D2BE4B1-42A8-4FB9-9925-AF44B7D733B2}"/>
    <cellStyle name="20 % - Akzent4 2 2 2 2" xfId="9052" xr:uid="{109D9AE4-2F5C-4124-B2EF-D1D30D5A5718}"/>
    <cellStyle name="20 % - Akzent4 2 2 2 3" xfId="9246" xr:uid="{B505A63C-8888-4123-90F1-9835EFFFF3E3}"/>
    <cellStyle name="20 % - Akzent4 2 2 3" xfId="9053" xr:uid="{A3A21F1C-F259-4BA4-B320-44B10023D85B}"/>
    <cellStyle name="20 % - Akzent4 2 2 3 2" xfId="9297" xr:uid="{155907BE-DD7A-450F-A56A-F94D8C1BB996}"/>
    <cellStyle name="20 % - Akzent4 2 2 4" xfId="9054" xr:uid="{665D5FED-B28D-4EB3-B3C3-8DBD0C85AEEE}"/>
    <cellStyle name="20 % - Akzent4 2 2 4 2" xfId="9327" xr:uid="{D0483216-4821-4AAF-B97D-0528C03988C4}"/>
    <cellStyle name="20 % - Akzent4 2 2 5" xfId="9055" xr:uid="{8DA1806A-E1E0-436B-AD68-4F7334DD187A}"/>
    <cellStyle name="20 % - Akzent4 2 2 6" xfId="9227" xr:uid="{0F571640-CD5D-4111-92DA-B3FA29BDE47F}"/>
    <cellStyle name="20 % - Akzent4 2 3" xfId="9056" xr:uid="{0AA44A45-795B-431F-B395-E4CC9531D397}"/>
    <cellStyle name="20 % - Akzent4 2 3 2" xfId="9057" xr:uid="{B2DBDA8E-56EF-46D9-81B6-5FF1CAC9F4E5}"/>
    <cellStyle name="20 % - Akzent4 2 3 2 2" xfId="9058" xr:uid="{482E3A10-F011-416A-881C-D8DA7050A81B}"/>
    <cellStyle name="20 % - Akzent4 2 3 2 3" xfId="9247" xr:uid="{2CCFD49E-4741-4042-8294-0F60E597A32B}"/>
    <cellStyle name="20 % - Akzent4 2 3 3" xfId="9059" xr:uid="{F562E015-8DDB-4433-969B-8D5B155E3EAF}"/>
    <cellStyle name="20 % - Akzent4 2 3 3 2" xfId="9287" xr:uid="{AB9FCBCD-F7E6-4B86-923C-01EE152767B5}"/>
    <cellStyle name="20 % - Akzent4 2 3 4" xfId="9060" xr:uid="{E3592F90-8436-4C27-9B25-E86788FB9416}"/>
    <cellStyle name="20 % - Akzent4 2 3 4 2" xfId="9317" xr:uid="{34B58F48-0133-42C0-9BF9-7ED5E02729DB}"/>
    <cellStyle name="20 % - Akzent4 2 3 5" xfId="9061" xr:uid="{83BA1276-FD25-4B69-8EB5-CA20DBCC03DB}"/>
    <cellStyle name="20 % - Akzent4 2 3 6" xfId="9217" xr:uid="{EB5F8F12-D5D6-4D66-85F7-3C6838CFE001}"/>
    <cellStyle name="20 % - Akzent4 2 4" xfId="9062" xr:uid="{995C774E-4DF6-4BBE-8C3A-4EB17F8BF75E}"/>
    <cellStyle name="20 % - Akzent4 2 4 2" xfId="9063" xr:uid="{15E4D72D-84F3-4272-952A-C91DBEE526A8}"/>
    <cellStyle name="20 % - Akzent4 2 4 3" xfId="9248" xr:uid="{00D5F2E8-6EF1-4DF8-929E-C43DCD3A569B}"/>
    <cellStyle name="20 % - Akzent4 2 5" xfId="9064" xr:uid="{CA11D5B0-78DA-4D58-BEE3-21C627CAB075}"/>
    <cellStyle name="20 % - Akzent4 2 5 2" xfId="9065" xr:uid="{B835F656-4AB1-49A8-92DC-A2A02996C436}"/>
    <cellStyle name="20 % - Akzent4 2 5 3" xfId="9249" xr:uid="{160A7048-DA14-44FC-914D-BA340EE2CF6E}"/>
    <cellStyle name="20 % - Akzent4 2 6" xfId="9066" xr:uid="{B3FCAF1E-14F5-49DA-A253-7CE0A4AE14B1}"/>
    <cellStyle name="20 % - Akzent4 2 6 2" xfId="9277" xr:uid="{AEC2CCA7-8919-4AFB-AA17-2B9F2C9945AB}"/>
    <cellStyle name="20 % - Akzent4 2 7" xfId="9067" xr:uid="{E24A233A-9AD9-42D0-B0DE-1724E532C73D}"/>
    <cellStyle name="20 % - Akzent4 2 7 2" xfId="9307" xr:uid="{2C31EACC-49F2-41BB-88F9-F33110693534}"/>
    <cellStyle name="20 % - Akzent4 2 8" xfId="9068" xr:uid="{45CD6F0E-7755-4B18-A3C0-DC9756CE6CC5}"/>
    <cellStyle name="20 % - Akzent4 2 9" xfId="9206" xr:uid="{B5E84046-A763-4EFB-A1EF-927CB690577A}"/>
    <cellStyle name="20 % - Akzent5 2" xfId="9190" xr:uid="{C1215184-9FE1-46EE-9167-91B58E28E40A}"/>
    <cellStyle name="20 % - Akzent6 2" xfId="9191" xr:uid="{AB77D476-DA3A-419A-8E12-567C0B49E876}"/>
    <cellStyle name="20% - Accent1" xfId="21" builtinId="30" customBuiltin="1"/>
    <cellStyle name="20% - Accent1 2" xfId="63" xr:uid="{00000000-0005-0000-0000-000001000000}"/>
    <cellStyle name="20% - Accent1 2 2" xfId="7721" xr:uid="{E9C2FE49-CC2D-4590-AF7E-A2F203A3EB97}"/>
    <cellStyle name="20% - Accent1 3" xfId="1522" xr:uid="{00000000-0005-0000-0000-000002000000}"/>
    <cellStyle name="20% - Accent1 4" xfId="5370" xr:uid="{00000000-0005-0000-0000-000003000000}"/>
    <cellStyle name="20% - Accent1 5" xfId="5951" xr:uid="{00000000-0005-0000-0000-000004000000}"/>
    <cellStyle name="20% - Accent1 5 2" xfId="7371" xr:uid="{00000000-0005-0000-0000-000004000000}"/>
    <cellStyle name="20% - Accent1 6" xfId="6083" xr:uid="{00000000-0005-0000-0000-000005000000}"/>
    <cellStyle name="20% - Accent2" xfId="25" builtinId="34" customBuiltin="1"/>
    <cellStyle name="20% - Accent2 2" xfId="67" xr:uid="{00000000-0005-0000-0000-000007000000}"/>
    <cellStyle name="20% - Accent2 2 2" xfId="7722" xr:uid="{781136BB-B6CB-487B-BC2B-F93D454275F4}"/>
    <cellStyle name="20% - Accent2 3" xfId="1526" xr:uid="{00000000-0005-0000-0000-000008000000}"/>
    <cellStyle name="20% - Accent2 4" xfId="5371" xr:uid="{00000000-0005-0000-0000-000009000000}"/>
    <cellStyle name="20% - Accent2 5" xfId="5952" xr:uid="{00000000-0005-0000-0000-00000A000000}"/>
    <cellStyle name="20% - Accent2 5 2" xfId="7372" xr:uid="{00000000-0005-0000-0000-00000A000000}"/>
    <cellStyle name="20% - Accent2 6" xfId="6087" xr:uid="{00000000-0005-0000-0000-00000B000000}"/>
    <cellStyle name="20% - Accent3" xfId="29" builtinId="38" customBuiltin="1"/>
    <cellStyle name="20% - Accent3 2" xfId="71" xr:uid="{00000000-0005-0000-0000-00000D000000}"/>
    <cellStyle name="20% - Accent3 2 2" xfId="7723" xr:uid="{7C3074F9-815E-4FB5-B9E0-28EFAFBC09EF}"/>
    <cellStyle name="20% - Accent3 3" xfId="1530" xr:uid="{00000000-0005-0000-0000-00000E000000}"/>
    <cellStyle name="20% - Accent3 4" xfId="5372" xr:uid="{00000000-0005-0000-0000-00000F000000}"/>
    <cellStyle name="20% - Accent3 5" xfId="5953" xr:uid="{00000000-0005-0000-0000-000010000000}"/>
    <cellStyle name="20% - Accent3 5 2" xfId="7373" xr:uid="{00000000-0005-0000-0000-000010000000}"/>
    <cellStyle name="20% - Accent3 6" xfId="6091" xr:uid="{00000000-0005-0000-0000-000011000000}"/>
    <cellStyle name="20% - Accent4" xfId="33" builtinId="42" customBuiltin="1"/>
    <cellStyle name="20% - Accent4 2" xfId="75" xr:uid="{00000000-0005-0000-0000-000013000000}"/>
    <cellStyle name="20% - Accent4 2 2" xfId="7724" xr:uid="{FED1DF39-FAE7-4EB0-8099-416AC76BBE28}"/>
    <cellStyle name="20% - Accent4 3" xfId="1534" xr:uid="{00000000-0005-0000-0000-000014000000}"/>
    <cellStyle name="20% - Accent4 4" xfId="5373" xr:uid="{00000000-0005-0000-0000-000015000000}"/>
    <cellStyle name="20% - Accent4 5" xfId="5954" xr:uid="{00000000-0005-0000-0000-000016000000}"/>
    <cellStyle name="20% - Accent4 5 2" xfId="7374" xr:uid="{00000000-0005-0000-0000-000016000000}"/>
    <cellStyle name="20% - Accent4 6" xfId="6095" xr:uid="{00000000-0005-0000-0000-000017000000}"/>
    <cellStyle name="20% - Accent5" xfId="37" builtinId="46" customBuiltin="1"/>
    <cellStyle name="20% - Accent5 2" xfId="79" xr:uid="{00000000-0005-0000-0000-000019000000}"/>
    <cellStyle name="20% - Accent5 2 2" xfId="7725" xr:uid="{1EA25246-01A6-405A-BC88-6AACE83CD72C}"/>
    <cellStyle name="20% - Accent5 3" xfId="1538" xr:uid="{00000000-0005-0000-0000-00001A000000}"/>
    <cellStyle name="20% - Accent5 4" xfId="5374" xr:uid="{00000000-0005-0000-0000-00001B000000}"/>
    <cellStyle name="20% - Accent5 5" xfId="5955" xr:uid="{00000000-0005-0000-0000-00001C000000}"/>
    <cellStyle name="20% - Accent5 5 2" xfId="7375" xr:uid="{00000000-0005-0000-0000-00001C000000}"/>
    <cellStyle name="20% - Accent5 6" xfId="6099" xr:uid="{00000000-0005-0000-0000-00001D000000}"/>
    <cellStyle name="20% - Accent6" xfId="41" builtinId="50" customBuiltin="1"/>
    <cellStyle name="20% - Accent6 2" xfId="83" xr:uid="{00000000-0005-0000-0000-00001F000000}"/>
    <cellStyle name="20% - Accent6 2 2" xfId="7726" xr:uid="{3C77E78B-00BF-4F60-86FB-7F33EAE2282D}"/>
    <cellStyle name="20% - Accent6 3" xfId="1542" xr:uid="{00000000-0005-0000-0000-000020000000}"/>
    <cellStyle name="20% - Accent6 4" xfId="5375" xr:uid="{00000000-0005-0000-0000-000021000000}"/>
    <cellStyle name="20% - Accent6 5" xfId="5956" xr:uid="{00000000-0005-0000-0000-000022000000}"/>
    <cellStyle name="20% - Accent6 5 2" xfId="7376" xr:uid="{00000000-0005-0000-0000-000022000000}"/>
    <cellStyle name="20% - Accent6 6" xfId="6103" xr:uid="{00000000-0005-0000-0000-000023000000}"/>
    <cellStyle name="20% - Akzent1" xfId="9069" xr:uid="{3ABA5E24-93EB-46C5-9726-9D374F217FD4}"/>
    <cellStyle name="20% - Akzent2" xfId="9070" xr:uid="{55A1E4B5-9C98-4B83-9261-1EB3AECA5A5B}"/>
    <cellStyle name="20% - Akzent3" xfId="9071" xr:uid="{B12556DB-CD06-4544-8E3C-BA59238E244D}"/>
    <cellStyle name="20% - Akzent4" xfId="9072" xr:uid="{78337480-864E-4FF6-803F-9EEDC68D7A4F}"/>
    <cellStyle name="40 % - Akzent1 2" xfId="9192" xr:uid="{6CD8D638-BF05-4F04-8494-0728BEB264EC}"/>
    <cellStyle name="40 % - Akzent2 2" xfId="9193" xr:uid="{FA3C8004-D674-469F-9E45-A1E231F7B500}"/>
    <cellStyle name="40 % - Akzent3 2" xfId="9073" xr:uid="{23986237-9E7A-4417-B9B0-C86C7CEAEBD5}"/>
    <cellStyle name="40 % - Akzent3 2 2" xfId="9074" xr:uid="{1275BCDD-29D6-4750-BF48-7E7A80436CC3}"/>
    <cellStyle name="40 % - Akzent3 2 2 2" xfId="9075" xr:uid="{6B12D7E2-8ED9-4A1F-BDF5-A2C47157297C}"/>
    <cellStyle name="40 % - Akzent3 2 2 2 2" xfId="9076" xr:uid="{AFB225C8-8D84-4DBE-8A88-1269D6EE05F2}"/>
    <cellStyle name="40 % - Akzent3 2 2 2 3" xfId="9250" xr:uid="{F6B0E69F-B550-4A4D-8F71-AD5B7050433C}"/>
    <cellStyle name="40 % - Akzent3 2 2 3" xfId="9077" xr:uid="{B0D9B279-1A88-4321-9E1C-797D9EDBF9ED}"/>
    <cellStyle name="40 % - Akzent3 2 2 3 2" xfId="9298" xr:uid="{3E7A4976-CC0C-431D-B0C1-BBB191340C92}"/>
    <cellStyle name="40 % - Akzent3 2 2 4" xfId="9078" xr:uid="{7DCB1610-71C6-493C-BE1C-82F1F7D90409}"/>
    <cellStyle name="40 % - Akzent3 2 2 4 2" xfId="9328" xr:uid="{CE58A794-FB8A-45ED-BF66-F289DC5C9A45}"/>
    <cellStyle name="40 % - Akzent3 2 2 5" xfId="9079" xr:uid="{AF788E17-2704-44B3-8661-E96A485F22D9}"/>
    <cellStyle name="40 % - Akzent3 2 2 6" xfId="9228" xr:uid="{94DB0B80-2087-4A81-883F-8A9B378C7189}"/>
    <cellStyle name="40 % - Akzent3 2 3" xfId="9080" xr:uid="{9538EAE8-3DD4-4181-AD97-A58B30948981}"/>
    <cellStyle name="40 % - Akzent3 2 3 2" xfId="9081" xr:uid="{5901C9C8-0D1B-4230-995D-5D9A86C1CCAA}"/>
    <cellStyle name="40 % - Akzent3 2 3 2 2" xfId="9082" xr:uid="{D67762A7-000B-4EF8-BB31-C4CAF56E0A53}"/>
    <cellStyle name="40 % - Akzent3 2 3 2 3" xfId="9251" xr:uid="{3C485C30-68EA-41C3-B05D-938C6C69EAA4}"/>
    <cellStyle name="40 % - Akzent3 2 3 3" xfId="9083" xr:uid="{8C6E7171-8930-4860-AFC5-EE133CF0ED4C}"/>
    <cellStyle name="40 % - Akzent3 2 3 3 2" xfId="9288" xr:uid="{C83733C6-02C3-434B-8A3B-998AFB4CC3BA}"/>
    <cellStyle name="40 % - Akzent3 2 3 4" xfId="9084" xr:uid="{FE2B2055-5261-4867-AB41-C4DD85F89EC7}"/>
    <cellStyle name="40 % - Akzent3 2 3 4 2" xfId="9318" xr:uid="{280C5D38-F62E-4ACA-B3C3-4CC44FE3852D}"/>
    <cellStyle name="40 % - Akzent3 2 3 5" xfId="9085" xr:uid="{ADC204D7-4B11-49D2-A0F3-656C56307E22}"/>
    <cellStyle name="40 % - Akzent3 2 3 6" xfId="9218" xr:uid="{082201C1-0248-4F57-8966-6F00C0A3CD79}"/>
    <cellStyle name="40 % - Akzent3 2 4" xfId="9086" xr:uid="{5A691B2D-3B10-4736-BEBF-C1F8DD63F9E9}"/>
    <cellStyle name="40 % - Akzent3 2 4 2" xfId="9087" xr:uid="{C790011C-F25A-4473-8A6C-5B8B1DD9578D}"/>
    <cellStyle name="40 % - Akzent3 2 4 3" xfId="9252" xr:uid="{DAA9F22F-5200-4D76-9998-0B7122D39634}"/>
    <cellStyle name="40 % - Akzent3 2 5" xfId="9088" xr:uid="{64BDA89F-4AFB-4EE5-851E-43D777B4FAB1}"/>
    <cellStyle name="40 % - Akzent3 2 5 2" xfId="9089" xr:uid="{9D0F0B0D-2ADD-482F-BF82-165BF7834D76}"/>
    <cellStyle name="40 % - Akzent3 2 5 3" xfId="9253" xr:uid="{15F2F2AB-7227-4431-8207-0A71CFF750CE}"/>
    <cellStyle name="40 % - Akzent3 2 6" xfId="9090" xr:uid="{09DE4C47-F93A-413F-B4E2-D28271A860AE}"/>
    <cellStyle name="40 % - Akzent3 2 6 2" xfId="9278" xr:uid="{978DEAF7-9A22-4DC1-85D5-CBD45555B448}"/>
    <cellStyle name="40 % - Akzent3 2 7" xfId="9091" xr:uid="{182CE205-8F7D-4CC6-87D5-3A0BED9B8D15}"/>
    <cellStyle name="40 % - Akzent3 2 7 2" xfId="9308" xr:uid="{F7ED978D-B65E-40CB-A77E-6D3C8B840648}"/>
    <cellStyle name="40 % - Akzent3 2 8" xfId="9092" xr:uid="{91DE5FCD-1B3E-4EBB-9F19-D87508F5CCB0}"/>
    <cellStyle name="40 % - Akzent3 2 9" xfId="9207" xr:uid="{7F786CD9-205F-4CD8-B954-AA9D8715F06B}"/>
    <cellStyle name="40 % - Akzent4 2" xfId="9194" xr:uid="{8A75E7FF-3F0D-4159-8940-78D87C6BB829}"/>
    <cellStyle name="40 % - Akzent5 2" xfId="9195" xr:uid="{06091288-B6A2-442C-8731-8D58C4D8AA37}"/>
    <cellStyle name="40 % - Akzent6 2" xfId="9196" xr:uid="{97428B7B-8845-42A4-9D49-192BA8456A89}"/>
    <cellStyle name="40% - Accent1" xfId="22" builtinId="31" customBuiltin="1"/>
    <cellStyle name="40% - Accent1 2" xfId="64" xr:uid="{00000000-0005-0000-0000-000025000000}"/>
    <cellStyle name="40% - Accent1 2 2" xfId="7727" xr:uid="{948C17F8-C0A0-456A-8F55-67E6F5CCC77A}"/>
    <cellStyle name="40% - Accent1 3" xfId="1523" xr:uid="{00000000-0005-0000-0000-000026000000}"/>
    <cellStyle name="40% - Accent1 4" xfId="5376" xr:uid="{00000000-0005-0000-0000-000027000000}"/>
    <cellStyle name="40% - Accent1 5" xfId="5957" xr:uid="{00000000-0005-0000-0000-000028000000}"/>
    <cellStyle name="40% - Accent1 5 2" xfId="7377" xr:uid="{00000000-0005-0000-0000-000028000000}"/>
    <cellStyle name="40% - Accent1 6" xfId="6084" xr:uid="{00000000-0005-0000-0000-000029000000}"/>
    <cellStyle name="40% - Accent2" xfId="26" builtinId="35" customBuiltin="1"/>
    <cellStyle name="40% - Accent2 2" xfId="68" xr:uid="{00000000-0005-0000-0000-00002B000000}"/>
    <cellStyle name="40% - Accent2 2 2" xfId="7728" xr:uid="{1E347F11-DC44-4E27-8A2B-2B23B33C7A76}"/>
    <cellStyle name="40% - Accent2 3" xfId="1527" xr:uid="{00000000-0005-0000-0000-00002C000000}"/>
    <cellStyle name="40% - Accent2 4" xfId="5377" xr:uid="{00000000-0005-0000-0000-00002D000000}"/>
    <cellStyle name="40% - Accent2 5" xfId="5958" xr:uid="{00000000-0005-0000-0000-00002E000000}"/>
    <cellStyle name="40% - Accent2 5 2" xfId="7378" xr:uid="{00000000-0005-0000-0000-00002E000000}"/>
    <cellStyle name="40% - Accent2 6" xfId="6088" xr:uid="{00000000-0005-0000-0000-00002F000000}"/>
    <cellStyle name="40% - Accent3" xfId="30" builtinId="39" customBuiltin="1"/>
    <cellStyle name="40% - Accent3 2" xfId="72" xr:uid="{00000000-0005-0000-0000-000031000000}"/>
    <cellStyle name="40% - Accent3 2 2" xfId="7729" xr:uid="{862AD50F-1343-4E79-80D1-FE893659DDFF}"/>
    <cellStyle name="40% - Accent3 3" xfId="1531" xr:uid="{00000000-0005-0000-0000-000032000000}"/>
    <cellStyle name="40% - Accent3 4" xfId="5378" xr:uid="{00000000-0005-0000-0000-000033000000}"/>
    <cellStyle name="40% - Accent3 5" xfId="5959" xr:uid="{00000000-0005-0000-0000-000034000000}"/>
    <cellStyle name="40% - Accent3 5 2" xfId="7379" xr:uid="{00000000-0005-0000-0000-000034000000}"/>
    <cellStyle name="40% - Accent3 6" xfId="6092" xr:uid="{00000000-0005-0000-0000-000035000000}"/>
    <cellStyle name="40% - Accent4" xfId="34" builtinId="43" customBuiltin="1"/>
    <cellStyle name="40% - Accent4 2" xfId="76" xr:uid="{00000000-0005-0000-0000-000037000000}"/>
    <cellStyle name="40% - Accent4 2 2" xfId="7730" xr:uid="{D1B740CC-8681-4A72-8493-6CD48E482854}"/>
    <cellStyle name="40% - Accent4 3" xfId="1535" xr:uid="{00000000-0005-0000-0000-000038000000}"/>
    <cellStyle name="40% - Accent4 4" xfId="5379" xr:uid="{00000000-0005-0000-0000-000039000000}"/>
    <cellStyle name="40% - Accent4 5" xfId="5960" xr:uid="{00000000-0005-0000-0000-00003A000000}"/>
    <cellStyle name="40% - Accent4 5 2" xfId="7380" xr:uid="{00000000-0005-0000-0000-00003A000000}"/>
    <cellStyle name="40% - Accent4 6" xfId="6096" xr:uid="{00000000-0005-0000-0000-00003B000000}"/>
    <cellStyle name="40% - Accent5" xfId="38" builtinId="47" customBuiltin="1"/>
    <cellStyle name="40% - Accent5 2" xfId="80" xr:uid="{00000000-0005-0000-0000-00003D000000}"/>
    <cellStyle name="40% - Accent5 2 2" xfId="7731" xr:uid="{C8FC12A7-B0BB-4D9A-9C1D-A15993D2465B}"/>
    <cellStyle name="40% - Accent5 3" xfId="1539" xr:uid="{00000000-0005-0000-0000-00003E000000}"/>
    <cellStyle name="40% - Accent5 4" xfId="5380" xr:uid="{00000000-0005-0000-0000-00003F000000}"/>
    <cellStyle name="40% - Accent5 5" xfId="5961" xr:uid="{00000000-0005-0000-0000-000040000000}"/>
    <cellStyle name="40% - Accent5 5 2" xfId="7381" xr:uid="{00000000-0005-0000-0000-000040000000}"/>
    <cellStyle name="40% - Accent5 6" xfId="6100" xr:uid="{00000000-0005-0000-0000-000041000000}"/>
    <cellStyle name="40% - Accent6" xfId="42" builtinId="51" customBuiltin="1"/>
    <cellStyle name="40% - Accent6 2" xfId="84" xr:uid="{00000000-0005-0000-0000-000043000000}"/>
    <cellStyle name="40% - Accent6 2 2" xfId="7732" xr:uid="{63781DD3-6685-42E2-95DA-D283CEE3A802}"/>
    <cellStyle name="40% - Accent6 3" xfId="1543" xr:uid="{00000000-0005-0000-0000-000044000000}"/>
    <cellStyle name="40% - Accent6 4" xfId="5381" xr:uid="{00000000-0005-0000-0000-000045000000}"/>
    <cellStyle name="40% - Accent6 5" xfId="5962" xr:uid="{00000000-0005-0000-0000-000046000000}"/>
    <cellStyle name="40% - Accent6 5 2" xfId="7382" xr:uid="{00000000-0005-0000-0000-000046000000}"/>
    <cellStyle name="40% - Accent6 6" xfId="6104" xr:uid="{00000000-0005-0000-0000-000047000000}"/>
    <cellStyle name="40% - Akzent3" xfId="9093" xr:uid="{C8D6723E-63BB-4017-B794-1C48C9830807}"/>
    <cellStyle name="60 % - Akzent1 2" xfId="9197" xr:uid="{72866276-7FB1-4A30-B98C-CBC1671D027A}"/>
    <cellStyle name="60 % - Akzent2 2" xfId="9198" xr:uid="{33B541E0-D25E-45B4-A0A4-EBFED9937A96}"/>
    <cellStyle name="60 % - Akzent3 2" xfId="9094" xr:uid="{E52212D5-60B0-421C-B71F-1FB20573CBB3}"/>
    <cellStyle name="60 % - Akzent4 2" xfId="9095" xr:uid="{1965147E-C03A-4966-9CAE-D150904BCB76}"/>
    <cellStyle name="60 % - Akzent5 2" xfId="9199" xr:uid="{930CEA2A-5249-45C6-AD47-C14A83454BC4}"/>
    <cellStyle name="60 % - Akzent6 2" xfId="9096" xr:uid="{9C0D65B0-A8B6-47A3-BA06-61EE17D81BD5}"/>
    <cellStyle name="60% - Accent1" xfId="23" builtinId="32" customBuiltin="1"/>
    <cellStyle name="60% - Accent1 2" xfId="65" xr:uid="{00000000-0005-0000-0000-000049000000}"/>
    <cellStyle name="60% - Accent1 2 2" xfId="7733" xr:uid="{63F7CAB4-BDED-4E7D-8B57-8304CAA28D73}"/>
    <cellStyle name="60% - Accent1 3" xfId="1524" xr:uid="{00000000-0005-0000-0000-00004A000000}"/>
    <cellStyle name="60% - Accent1 4" xfId="5382" xr:uid="{00000000-0005-0000-0000-00004B000000}"/>
    <cellStyle name="60% - Accent1 4 2" xfId="6829" xr:uid="{00000000-0005-0000-0000-00004B000000}"/>
    <cellStyle name="60% - Accent1 5" xfId="5963" xr:uid="{00000000-0005-0000-0000-00004C000000}"/>
    <cellStyle name="60% - Accent1 5 2" xfId="7383" xr:uid="{00000000-0005-0000-0000-00004C000000}"/>
    <cellStyle name="60% - Accent1 6" xfId="6085" xr:uid="{00000000-0005-0000-0000-00004D000000}"/>
    <cellStyle name="60% - Accent2" xfId="27" builtinId="36" customBuiltin="1"/>
    <cellStyle name="60% - Accent2 2" xfId="69" xr:uid="{00000000-0005-0000-0000-00004F000000}"/>
    <cellStyle name="60% - Accent2 2 2" xfId="7734" xr:uid="{6A1DE77F-3ADE-44E3-8526-8F30097BF564}"/>
    <cellStyle name="60% - Accent2 3" xfId="1528" xr:uid="{00000000-0005-0000-0000-000050000000}"/>
    <cellStyle name="60% - Accent2 4" xfId="5383" xr:uid="{00000000-0005-0000-0000-000051000000}"/>
    <cellStyle name="60% - Accent2 4 2" xfId="6830" xr:uid="{00000000-0005-0000-0000-000051000000}"/>
    <cellStyle name="60% - Accent2 5" xfId="5964" xr:uid="{00000000-0005-0000-0000-000052000000}"/>
    <cellStyle name="60% - Accent2 5 2" xfId="7384" xr:uid="{00000000-0005-0000-0000-000052000000}"/>
    <cellStyle name="60% - Accent2 6" xfId="6089" xr:uid="{00000000-0005-0000-0000-000053000000}"/>
    <cellStyle name="60% - Accent3" xfId="31" builtinId="40" customBuiltin="1"/>
    <cellStyle name="60% - Accent3 2" xfId="73" xr:uid="{00000000-0005-0000-0000-000055000000}"/>
    <cellStyle name="60% - Accent3 2 2" xfId="7735" xr:uid="{27FC7DF9-3745-4BF9-97BC-9AC9E493556E}"/>
    <cellStyle name="60% - Accent3 3" xfId="1532" xr:uid="{00000000-0005-0000-0000-000056000000}"/>
    <cellStyle name="60% - Accent3 4" xfId="5384" xr:uid="{00000000-0005-0000-0000-000057000000}"/>
    <cellStyle name="60% - Accent3 4 2" xfId="6831" xr:uid="{00000000-0005-0000-0000-000057000000}"/>
    <cellStyle name="60% - Accent3 5" xfId="5965" xr:uid="{00000000-0005-0000-0000-000058000000}"/>
    <cellStyle name="60% - Accent3 5 2" xfId="7385" xr:uid="{00000000-0005-0000-0000-000058000000}"/>
    <cellStyle name="60% - Accent3 6" xfId="6093" xr:uid="{00000000-0005-0000-0000-000059000000}"/>
    <cellStyle name="60% - Accent4" xfId="35" builtinId="44" customBuiltin="1"/>
    <cellStyle name="60% - Accent4 2" xfId="77" xr:uid="{00000000-0005-0000-0000-00005B000000}"/>
    <cellStyle name="60% - Accent4 2 2" xfId="7736" xr:uid="{539F1DFA-6DF0-4DDE-A5EB-85ACCD10177C}"/>
    <cellStyle name="60% - Accent4 3" xfId="1536" xr:uid="{00000000-0005-0000-0000-00005C000000}"/>
    <cellStyle name="60% - Accent4 4" xfId="5385" xr:uid="{00000000-0005-0000-0000-00005D000000}"/>
    <cellStyle name="60% - Accent4 4 2" xfId="6832" xr:uid="{00000000-0005-0000-0000-00005D000000}"/>
    <cellStyle name="60% - Accent4 5" xfId="5966" xr:uid="{00000000-0005-0000-0000-00005E000000}"/>
    <cellStyle name="60% - Accent4 5 2" xfId="7386" xr:uid="{00000000-0005-0000-0000-00005E000000}"/>
    <cellStyle name="60% - Accent4 6" xfId="6097" xr:uid="{00000000-0005-0000-0000-00005F000000}"/>
    <cellStyle name="60% - Accent5" xfId="39" builtinId="48" customBuiltin="1"/>
    <cellStyle name="60% - Accent5 2" xfId="81" xr:uid="{00000000-0005-0000-0000-000061000000}"/>
    <cellStyle name="60% - Accent5 2 2" xfId="7737" xr:uid="{5B038301-D4D3-443E-9658-E3462C059B40}"/>
    <cellStyle name="60% - Accent5 3" xfId="1540" xr:uid="{00000000-0005-0000-0000-000062000000}"/>
    <cellStyle name="60% - Accent5 4" xfId="5386" xr:uid="{00000000-0005-0000-0000-000063000000}"/>
    <cellStyle name="60% - Accent5 4 2" xfId="6833" xr:uid="{00000000-0005-0000-0000-000063000000}"/>
    <cellStyle name="60% - Accent5 5" xfId="5967" xr:uid="{00000000-0005-0000-0000-000064000000}"/>
    <cellStyle name="60% - Accent5 5 2" xfId="7387" xr:uid="{00000000-0005-0000-0000-000064000000}"/>
    <cellStyle name="60% - Accent5 6" xfId="6101" xr:uid="{00000000-0005-0000-0000-000065000000}"/>
    <cellStyle name="60% - Accent6" xfId="43" builtinId="52" customBuiltin="1"/>
    <cellStyle name="60% - Accent6 2" xfId="85" xr:uid="{00000000-0005-0000-0000-000067000000}"/>
    <cellStyle name="60% - Accent6 2 2" xfId="7738" xr:uid="{281788BD-931C-40BE-9A34-F65558D100D1}"/>
    <cellStyle name="60% - Accent6 3" xfId="1544" xr:uid="{00000000-0005-0000-0000-000068000000}"/>
    <cellStyle name="60% - Accent6 4" xfId="5387" xr:uid="{00000000-0005-0000-0000-000069000000}"/>
    <cellStyle name="60% - Accent6 4 2" xfId="6834" xr:uid="{00000000-0005-0000-0000-000069000000}"/>
    <cellStyle name="60% - Accent6 5" xfId="5968" xr:uid="{00000000-0005-0000-0000-00006A000000}"/>
    <cellStyle name="60% - Accent6 5 2" xfId="7388" xr:uid="{00000000-0005-0000-0000-00006A000000}"/>
    <cellStyle name="60% - Accent6 6" xfId="6105" xr:uid="{00000000-0005-0000-0000-00006B000000}"/>
    <cellStyle name="60% - Akzent3" xfId="9097" xr:uid="{C3F29B48-FA5D-4189-BE77-2CC17F06BCB6}"/>
    <cellStyle name="60% - Akzent4" xfId="9098" xr:uid="{81BBFFD6-723E-43CC-AFCB-5A6BBFC285FC}"/>
    <cellStyle name="60% - Akzent6" xfId="9099" xr:uid="{6C1D3067-2BB3-4496-9158-5F375F19BF7D}"/>
    <cellStyle name="Accent1" xfId="20" builtinId="29" customBuiltin="1"/>
    <cellStyle name="Accent1 2" xfId="62" xr:uid="{00000000-0005-0000-0000-00006D000000}"/>
    <cellStyle name="Accent1 2 2" xfId="7739" xr:uid="{30913B15-E58D-4E51-AC22-0E3C71551936}"/>
    <cellStyle name="Accent1 3" xfId="1521" xr:uid="{00000000-0005-0000-0000-00006E000000}"/>
    <cellStyle name="Accent1 4" xfId="5388" xr:uid="{00000000-0005-0000-0000-00006F000000}"/>
    <cellStyle name="Accent1 4 2" xfId="6835" xr:uid="{00000000-0005-0000-0000-00006F000000}"/>
    <cellStyle name="Accent1 5" xfId="5969" xr:uid="{00000000-0005-0000-0000-000070000000}"/>
    <cellStyle name="Accent1 5 2" xfId="7389" xr:uid="{00000000-0005-0000-0000-000070000000}"/>
    <cellStyle name="Accent1 6" xfId="6082" xr:uid="{00000000-0005-0000-0000-000071000000}"/>
    <cellStyle name="Accent2" xfId="24" builtinId="33" customBuiltin="1"/>
    <cellStyle name="Accent2 2" xfId="66" xr:uid="{00000000-0005-0000-0000-000073000000}"/>
    <cellStyle name="Accent2 2 2" xfId="7740" xr:uid="{46C07DE0-531C-48B3-8946-60B13C8F6F6C}"/>
    <cellStyle name="Accent2 3" xfId="1525" xr:uid="{00000000-0005-0000-0000-000074000000}"/>
    <cellStyle name="Accent2 4" xfId="5389" xr:uid="{00000000-0005-0000-0000-000075000000}"/>
    <cellStyle name="Accent2 4 2" xfId="6836" xr:uid="{00000000-0005-0000-0000-000075000000}"/>
    <cellStyle name="Accent2 5" xfId="5970" xr:uid="{00000000-0005-0000-0000-000076000000}"/>
    <cellStyle name="Accent2 5 2" xfId="7390" xr:uid="{00000000-0005-0000-0000-000076000000}"/>
    <cellStyle name="Accent2 6" xfId="6086" xr:uid="{00000000-0005-0000-0000-000077000000}"/>
    <cellStyle name="Accent3" xfId="28" builtinId="37" customBuiltin="1"/>
    <cellStyle name="Accent3 2" xfId="70" xr:uid="{00000000-0005-0000-0000-000079000000}"/>
    <cellStyle name="Accent3 2 2" xfId="7741" xr:uid="{691B0172-4276-49A8-9772-5E747252C532}"/>
    <cellStyle name="Accent3 3" xfId="1529" xr:uid="{00000000-0005-0000-0000-00007A000000}"/>
    <cellStyle name="Accent3 4" xfId="5390" xr:uid="{00000000-0005-0000-0000-00007B000000}"/>
    <cellStyle name="Accent3 4 2" xfId="6837" xr:uid="{00000000-0005-0000-0000-00007B000000}"/>
    <cellStyle name="Accent3 5" xfId="5971" xr:uid="{00000000-0005-0000-0000-00007C000000}"/>
    <cellStyle name="Accent3 5 2" xfId="7391" xr:uid="{00000000-0005-0000-0000-00007C000000}"/>
    <cellStyle name="Accent3 6" xfId="6090" xr:uid="{00000000-0005-0000-0000-00007D000000}"/>
    <cellStyle name="Accent4" xfId="32" builtinId="41" customBuiltin="1"/>
    <cellStyle name="Accent4 2" xfId="74" xr:uid="{00000000-0005-0000-0000-00007F000000}"/>
    <cellStyle name="Accent4 2 2" xfId="7742" xr:uid="{E91A4BA9-AF53-48B6-BC99-8A679566BDB8}"/>
    <cellStyle name="Accent4 3" xfId="1533" xr:uid="{00000000-0005-0000-0000-000080000000}"/>
    <cellStyle name="Accent4 4" xfId="5391" xr:uid="{00000000-0005-0000-0000-000081000000}"/>
    <cellStyle name="Accent4 4 2" xfId="6838" xr:uid="{00000000-0005-0000-0000-000081000000}"/>
    <cellStyle name="Accent4 5" xfId="5972" xr:uid="{00000000-0005-0000-0000-000082000000}"/>
    <cellStyle name="Accent4 5 2" xfId="7392" xr:uid="{00000000-0005-0000-0000-000082000000}"/>
    <cellStyle name="Accent4 6" xfId="6094" xr:uid="{00000000-0005-0000-0000-000083000000}"/>
    <cellStyle name="Accent5" xfId="36" builtinId="45" customBuiltin="1"/>
    <cellStyle name="Accent5 2" xfId="78" xr:uid="{00000000-0005-0000-0000-000085000000}"/>
    <cellStyle name="Accent5 2 2" xfId="7743" xr:uid="{AE1DEFC7-CEB0-4FC8-BFF2-D42A73E084D3}"/>
    <cellStyle name="Accent5 3" xfId="1537" xr:uid="{00000000-0005-0000-0000-000086000000}"/>
    <cellStyle name="Accent5 4" xfId="5392" xr:uid="{00000000-0005-0000-0000-000087000000}"/>
    <cellStyle name="Accent5 4 2" xfId="6839" xr:uid="{00000000-0005-0000-0000-000087000000}"/>
    <cellStyle name="Accent5 5" xfId="5973" xr:uid="{00000000-0005-0000-0000-000088000000}"/>
    <cellStyle name="Accent5 5 2" xfId="7393" xr:uid="{00000000-0005-0000-0000-000088000000}"/>
    <cellStyle name="Accent5 6" xfId="6098" xr:uid="{00000000-0005-0000-0000-000089000000}"/>
    <cellStyle name="Accent6" xfId="40" builtinId="49" customBuiltin="1"/>
    <cellStyle name="Accent6 2" xfId="82" xr:uid="{00000000-0005-0000-0000-00008B000000}"/>
    <cellStyle name="Accent6 2 2" xfId="7744" xr:uid="{18EA07C9-692E-4EB6-8C07-83A10A538529}"/>
    <cellStyle name="Accent6 3" xfId="1541" xr:uid="{00000000-0005-0000-0000-00008C000000}"/>
    <cellStyle name="Accent6 4" xfId="5393" xr:uid="{00000000-0005-0000-0000-00008D000000}"/>
    <cellStyle name="Accent6 4 2" xfId="6840" xr:uid="{00000000-0005-0000-0000-00008D000000}"/>
    <cellStyle name="Accent6 5" xfId="5974" xr:uid="{00000000-0005-0000-0000-00008E000000}"/>
    <cellStyle name="Accent6 5 2" xfId="7394" xr:uid="{00000000-0005-0000-0000-00008E000000}"/>
    <cellStyle name="Accent6 6" xfId="6102" xr:uid="{00000000-0005-0000-0000-00008F000000}"/>
    <cellStyle name="Akzent1 2" xfId="9338" xr:uid="{75A15AD6-4270-4403-849B-D07C1DA328C6}"/>
    <cellStyle name="Akzent2 2" xfId="9339" xr:uid="{B6669D53-BFF2-4557-935A-674B56DCE2D3}"/>
    <cellStyle name="Akzent3 2" xfId="9340" xr:uid="{B6BDCBA3-8753-4003-817C-5A0341678D77}"/>
    <cellStyle name="Akzent4 2" xfId="9341" xr:uid="{2CD2E607-10B4-4BB7-B23A-D39A0F024A8B}"/>
    <cellStyle name="Akzent5 2" xfId="9342" xr:uid="{CC160B0D-5B2B-43FD-A061-E1AC2508F729}"/>
    <cellStyle name="Akzent6 2" xfId="9343" xr:uid="{EFCA459D-7DE5-41E0-B745-6EE6D5D599CF}"/>
    <cellStyle name="Ausgabe 2" xfId="9344" xr:uid="{914CDE88-BC67-488C-9957-BA6616B559FD}"/>
    <cellStyle name="Bad" xfId="9" builtinId="27" customBuiltin="1"/>
    <cellStyle name="Bad 2" xfId="51" xr:uid="{00000000-0005-0000-0000-000091000000}"/>
    <cellStyle name="Bad 2 2" xfId="7745" xr:uid="{F1134681-1BAE-4A6C-94B1-DF29D997167C}"/>
    <cellStyle name="Bad 3" xfId="1510" xr:uid="{00000000-0005-0000-0000-000092000000}"/>
    <cellStyle name="Bad 4" xfId="5394" xr:uid="{00000000-0005-0000-0000-000093000000}"/>
    <cellStyle name="Bad 5" xfId="5975" xr:uid="{00000000-0005-0000-0000-000094000000}"/>
    <cellStyle name="Bad 5 2" xfId="7395" xr:uid="{00000000-0005-0000-0000-000094000000}"/>
    <cellStyle name="Bad 6" xfId="6071" xr:uid="{00000000-0005-0000-0000-000095000000}"/>
    <cellStyle name="Berechnung 2" xfId="9345" xr:uid="{E5A30A3C-102D-4510-92FE-E0542E2A4D28}"/>
    <cellStyle name="Calculation" xfId="13" builtinId="22" customBuiltin="1"/>
    <cellStyle name="Calculation 2" xfId="55" xr:uid="{00000000-0005-0000-0000-000097000000}"/>
    <cellStyle name="Calculation 2 2" xfId="7746" xr:uid="{20DF4442-7BAE-4B96-ABD0-1EBBBBB8F9CC}"/>
    <cellStyle name="Calculation 3" xfId="1514" xr:uid="{00000000-0005-0000-0000-000098000000}"/>
    <cellStyle name="Calculation 4" xfId="5395" xr:uid="{00000000-0005-0000-0000-000099000000}"/>
    <cellStyle name="Calculation 5" xfId="5976" xr:uid="{00000000-0005-0000-0000-00009A000000}"/>
    <cellStyle name="Calculation 5 2" xfId="7396" xr:uid="{00000000-0005-0000-0000-00009A000000}"/>
    <cellStyle name="Calculation 6" xfId="6075" xr:uid="{00000000-0005-0000-0000-00009B000000}"/>
    <cellStyle name="Check Cell" xfId="15" builtinId="23" customBuiltin="1"/>
    <cellStyle name="Check Cell 2" xfId="57" xr:uid="{00000000-0005-0000-0000-00009D000000}"/>
    <cellStyle name="Check Cell 2 2" xfId="7747" xr:uid="{F7C82567-068A-4A4D-836A-5129F039A4BE}"/>
    <cellStyle name="Check Cell 3" xfId="1516" xr:uid="{00000000-0005-0000-0000-00009E000000}"/>
    <cellStyle name="Check Cell 4" xfId="5396" xr:uid="{00000000-0005-0000-0000-00009F000000}"/>
    <cellStyle name="Check Cell 5" xfId="5977" xr:uid="{00000000-0005-0000-0000-0000A0000000}"/>
    <cellStyle name="Check Cell 5 2" xfId="7397" xr:uid="{00000000-0005-0000-0000-0000A0000000}"/>
    <cellStyle name="Check Cell 6" xfId="6077" xr:uid="{00000000-0005-0000-0000-0000A1000000}"/>
    <cellStyle name="Comma 2" xfId="7748" xr:uid="{D02CEF82-0AFE-48E6-B2B4-324B6540EF4A}"/>
    <cellStyle name="Comma 2 2" xfId="7749" xr:uid="{AC6984D2-AF94-4F4E-83D9-4EFEC6FB061A}"/>
    <cellStyle name="Comma 2 2 2" xfId="9369" xr:uid="{069A7C06-70E6-4B4E-BF9F-5D3A94414FB1}"/>
    <cellStyle name="Comma 2 3" xfId="7750" xr:uid="{CBB78692-1E90-4484-85B8-C44E13BEDA95}"/>
    <cellStyle name="Comma 2 3 2" xfId="9370" xr:uid="{624CBE53-59B0-43A4-89A2-A45FAE53772F}"/>
    <cellStyle name="Comma 3" xfId="7751" xr:uid="{E460CA38-D00E-4F28-9080-09B90AD5DAAC}"/>
    <cellStyle name="Comma 4" xfId="7752" xr:uid="{602B039A-D408-4354-B2C6-3BA1C6EFDA92}"/>
    <cellStyle name="Comma 5" xfId="7753" xr:uid="{4947DD18-8215-4CE5-BADA-A237EFB33106}"/>
    <cellStyle name="Comma 5 2" xfId="9371" xr:uid="{FBEE0C05-1FE8-448E-9885-3496641B8439}"/>
    <cellStyle name="Comma 6" xfId="7754" xr:uid="{18514820-2423-4B68-9E12-9EAFB0406B16}"/>
    <cellStyle name="Comma 6 2" xfId="9372" xr:uid="{B5B39EA1-867E-412F-B1BC-B63F81325B68}"/>
    <cellStyle name="Comma 7" xfId="7755" xr:uid="{FE51BA37-F5D8-4B92-9C76-C986F85B0F78}"/>
    <cellStyle name="Comma 7 2" xfId="9373" xr:uid="{09FBC846-3C6F-4B4B-88E8-8AAA52D11E3F}"/>
    <cellStyle name="Comma 8" xfId="9346" xr:uid="{4AC78814-20F0-4FCD-AB55-D8DE180813CF}"/>
    <cellStyle name="Comma 9" xfId="9433" xr:uid="{67D4DFCB-361B-4A8B-B194-37C42AF51C51}"/>
    <cellStyle name="Currency" xfId="2" builtinId="4"/>
    <cellStyle name="Currency 2" xfId="6552" xr:uid="{00000000-0005-0000-0000-0000C2190000}"/>
    <cellStyle name="Currency 2 2" xfId="7757" xr:uid="{094335AF-5FF3-4DE2-B428-E4E72E6EC640}"/>
    <cellStyle name="Currency 2 3" xfId="7756" xr:uid="{F723ABCD-DD11-4389-BAD0-120249184C6E}"/>
    <cellStyle name="Currency 3" xfId="7758" xr:uid="{47F4341F-BF47-452E-8980-8297520BA517}"/>
    <cellStyle name="Currency 4" xfId="7759" xr:uid="{0DD2B870-771C-44FC-9061-F6426F0AB0EF}"/>
    <cellStyle name="Currency 5" xfId="7760" xr:uid="{9FB90EB1-7824-4322-913D-B3BE015FC406}"/>
    <cellStyle name="Currency 6" xfId="9347" xr:uid="{9140FB49-9ED1-4564-97B0-446A7E982B6C}"/>
    <cellStyle name="Currency 7" xfId="9367" xr:uid="{28CC3FBC-FAFA-4805-9505-A87A6EF9D712}"/>
    <cellStyle name="Dezimal 2" xfId="7761" xr:uid="{D4EAFC7A-B75D-4540-8B67-10B563EF0767}"/>
    <cellStyle name="Eingabe 2" xfId="9348" xr:uid="{8FC46A2E-152D-4C66-BE26-C5C36B42B36E}"/>
    <cellStyle name="Ergebnis 2" xfId="9349" xr:uid="{7E84FDB1-368B-4D2A-AA2B-B66CABA81D65}"/>
    <cellStyle name="Erklärender Text 2" xfId="9350" xr:uid="{FBF00E9A-E3C6-4C30-841F-53EDC916F7E7}"/>
    <cellStyle name="Euro" xfId="7762" xr:uid="{49477F71-BEA6-448E-90BA-1333AD54DD60}"/>
    <cellStyle name="Euro 2" xfId="7763" xr:uid="{30F17405-9779-4C3B-9CF4-F123718C7445}"/>
    <cellStyle name="Euro 2 2" xfId="7764" xr:uid="{6397FA22-03E9-420F-9187-29D2A630E6D2}"/>
    <cellStyle name="Euro 3" xfId="7765" xr:uid="{9223DF4A-06E6-40AD-B178-BF8E8DBC3969}"/>
    <cellStyle name="Euro 3 2" xfId="9374" xr:uid="{1A58FDD1-0B88-49CE-BA46-8BC6BB21C81E}"/>
    <cellStyle name="Explanatory Text" xfId="18" builtinId="53" customBuiltin="1"/>
    <cellStyle name="Explanatory Text 2" xfId="60" xr:uid="{00000000-0005-0000-0000-0000A4000000}"/>
    <cellStyle name="Explanatory Text 2 2" xfId="7766" xr:uid="{2B794BA9-1DC9-41A1-B2E4-A87AB143C05E}"/>
    <cellStyle name="Explanatory Text 3" xfId="1519" xr:uid="{00000000-0005-0000-0000-0000A5000000}"/>
    <cellStyle name="Explanatory Text 4" xfId="5401" xr:uid="{00000000-0005-0000-0000-0000A6000000}"/>
    <cellStyle name="Explanatory Text 5" xfId="5982" xr:uid="{00000000-0005-0000-0000-0000A7000000}"/>
    <cellStyle name="Explanatory Text 5 2" xfId="7402" xr:uid="{00000000-0005-0000-0000-0000A7000000}"/>
    <cellStyle name="Explanatory Text 6" xfId="6080" xr:uid="{00000000-0005-0000-0000-0000A8000000}"/>
    <cellStyle name="ExtStyle 0" xfId="89" xr:uid="{00000000-0005-0000-0000-0000A9000000}"/>
    <cellStyle name="ExtStyle 0 10" xfId="2776" xr:uid="{00000000-0005-0000-0000-0000AA000000}"/>
    <cellStyle name="ExtStyle 0 10 2" xfId="4665" xr:uid="{00000000-0005-0000-0000-0000AB000000}"/>
    <cellStyle name="ExtStyle 0 11" xfId="3013" xr:uid="{00000000-0005-0000-0000-0000AC000000}"/>
    <cellStyle name="ExtStyle 0 11 2" xfId="4899" xr:uid="{00000000-0005-0000-0000-0000AD000000}"/>
    <cellStyle name="ExtStyle 0 12" xfId="5135" xr:uid="{00000000-0005-0000-0000-0000AE000000}"/>
    <cellStyle name="ExtStyle 0 12 2" xfId="6595" xr:uid="{00000000-0005-0000-0000-0000AE000000}"/>
    <cellStyle name="ExtStyle 0 13" xfId="5402" xr:uid="{00000000-0005-0000-0000-0000AF000000}"/>
    <cellStyle name="ExtStyle 0 13 2" xfId="6845" xr:uid="{00000000-0005-0000-0000-0000AF000000}"/>
    <cellStyle name="ExtStyle 0 14" xfId="5718" xr:uid="{00000000-0005-0000-0000-0000B0000000}"/>
    <cellStyle name="ExtStyle 0 14 2" xfId="7138" xr:uid="{00000000-0005-0000-0000-0000B0000000}"/>
    <cellStyle name="ExtStyle 0 15" xfId="6209" xr:uid="{00000000-0005-0000-0000-0000B1000000}"/>
    <cellStyle name="ExtStyle 0 15 2" xfId="7487" xr:uid="{00000000-0005-0000-0000-0000B1000000}"/>
    <cellStyle name="ExtStyle 0 2" xfId="323" xr:uid="{00000000-0005-0000-0000-0000B2000000}"/>
    <cellStyle name="ExtStyle 0 2 2" xfId="796" xr:uid="{00000000-0005-0000-0000-0000B3000000}"/>
    <cellStyle name="ExtStyle 0 2 2 2" xfId="7768" xr:uid="{429F943F-8E68-4315-B34C-E74C7BB17452}"/>
    <cellStyle name="ExtStyle 0 2 3" xfId="7767" xr:uid="{53D71835-6DBD-4E70-84AD-9F772C28B19C}"/>
    <cellStyle name="ExtStyle 0 3" xfId="557" xr:uid="{00000000-0005-0000-0000-0000B4000000}"/>
    <cellStyle name="ExtStyle 0 3 2" xfId="1030" xr:uid="{00000000-0005-0000-0000-0000B5000000}"/>
    <cellStyle name="ExtStyle 0 3 3" xfId="7769" xr:uid="{75D58E01-0E8C-49F7-A2C5-6CDF0F77CC9C}"/>
    <cellStyle name="ExtStyle 0 4" xfId="1270" xr:uid="{00000000-0005-0000-0000-0000B6000000}"/>
    <cellStyle name="ExtStyle 0 4 2" xfId="3254" xr:uid="{00000000-0005-0000-0000-0000B7000000}"/>
    <cellStyle name="ExtStyle 0 4 3" xfId="7770" xr:uid="{5B27C080-8524-4799-B76C-F084A3F806A4}"/>
    <cellStyle name="ExtStyle 0 5" xfId="1565" xr:uid="{00000000-0005-0000-0000-0000B8000000}"/>
    <cellStyle name="ExtStyle 0 5 2" xfId="3492" xr:uid="{00000000-0005-0000-0000-0000B9000000}"/>
    <cellStyle name="ExtStyle 0 6" xfId="1816" xr:uid="{00000000-0005-0000-0000-0000BA000000}"/>
    <cellStyle name="ExtStyle 0 6 2" xfId="3726" xr:uid="{00000000-0005-0000-0000-0000BB000000}"/>
    <cellStyle name="ExtStyle 0 7" xfId="2060" xr:uid="{00000000-0005-0000-0000-0000BC000000}"/>
    <cellStyle name="ExtStyle 0 7 2" xfId="3961" xr:uid="{00000000-0005-0000-0000-0000BD000000}"/>
    <cellStyle name="ExtStyle 0 8" xfId="2295" xr:uid="{00000000-0005-0000-0000-0000BE000000}"/>
    <cellStyle name="ExtStyle 0 8 2" xfId="4196" xr:uid="{00000000-0005-0000-0000-0000BF000000}"/>
    <cellStyle name="ExtStyle 0 9" xfId="2542" xr:uid="{00000000-0005-0000-0000-0000C0000000}"/>
    <cellStyle name="ExtStyle 0 9 2" xfId="4431" xr:uid="{00000000-0005-0000-0000-0000C1000000}"/>
    <cellStyle name="ExtStyle 16" xfId="90" xr:uid="{00000000-0005-0000-0000-0000C2000000}"/>
    <cellStyle name="ExtStyle 16 10" xfId="2777" xr:uid="{00000000-0005-0000-0000-0000C3000000}"/>
    <cellStyle name="ExtStyle 16 10 2" xfId="4666" xr:uid="{00000000-0005-0000-0000-0000C4000000}"/>
    <cellStyle name="ExtStyle 16 10 2 2" xfId="6591" xr:uid="{00000000-0005-0000-0000-0000C4000000}"/>
    <cellStyle name="ExtStyle 16 10 3" xfId="6575" xr:uid="{00000000-0005-0000-0000-0000C3000000}"/>
    <cellStyle name="ExtStyle 16 11" xfId="3014" xr:uid="{00000000-0005-0000-0000-0000C5000000}"/>
    <cellStyle name="ExtStyle 16 11 2" xfId="4900" xr:uid="{00000000-0005-0000-0000-0000C6000000}"/>
    <cellStyle name="ExtStyle 16 11 2 2" xfId="6593" xr:uid="{00000000-0005-0000-0000-0000C6000000}"/>
    <cellStyle name="ExtStyle 16 11 3" xfId="6577" xr:uid="{00000000-0005-0000-0000-0000C5000000}"/>
    <cellStyle name="ExtStyle 16 12" xfId="5136" xr:uid="{00000000-0005-0000-0000-0000C7000000}"/>
    <cellStyle name="ExtStyle 16 12 2" xfId="6596" xr:uid="{00000000-0005-0000-0000-0000C7000000}"/>
    <cellStyle name="ExtStyle 16 13" xfId="5403" xr:uid="{00000000-0005-0000-0000-0000C8000000}"/>
    <cellStyle name="ExtStyle 16 13 2" xfId="6846" xr:uid="{00000000-0005-0000-0000-0000C8000000}"/>
    <cellStyle name="ExtStyle 16 14" xfId="5604" xr:uid="{00000000-0005-0000-0000-0000C9000000}"/>
    <cellStyle name="ExtStyle 16 14 2" xfId="7024" xr:uid="{00000000-0005-0000-0000-0000C9000000}"/>
    <cellStyle name="ExtStyle 16 15" xfId="5719" xr:uid="{00000000-0005-0000-0000-0000CA000000}"/>
    <cellStyle name="ExtStyle 16 15 2" xfId="7139" xr:uid="{00000000-0005-0000-0000-0000CA000000}"/>
    <cellStyle name="ExtStyle 16 16" xfId="5983" xr:uid="{00000000-0005-0000-0000-0000CB000000}"/>
    <cellStyle name="ExtStyle 16 16 2" xfId="7403" xr:uid="{00000000-0005-0000-0000-0000CB000000}"/>
    <cellStyle name="ExtStyle 16 17" xfId="6210" xr:uid="{00000000-0005-0000-0000-0000CC000000}"/>
    <cellStyle name="ExtStyle 16 17 2" xfId="7488" xr:uid="{00000000-0005-0000-0000-0000CC000000}"/>
    <cellStyle name="ExtStyle 16 18" xfId="6553" xr:uid="{00000000-0005-0000-0000-0000C2000000}"/>
    <cellStyle name="ExtStyle 16 19" xfId="7771" xr:uid="{CC21C458-A7BB-49AA-A392-7C5F180119A7}"/>
    <cellStyle name="ExtStyle 16 2" xfId="324" xr:uid="{00000000-0005-0000-0000-0000CD000000}"/>
    <cellStyle name="ExtStyle 16 2 2" xfId="797" xr:uid="{00000000-0005-0000-0000-0000CE000000}"/>
    <cellStyle name="ExtStyle 16 2 2 2" xfId="6559" xr:uid="{00000000-0005-0000-0000-0000CE000000}"/>
    <cellStyle name="ExtStyle 16 2 2 3" xfId="9376" xr:uid="{425A140C-987F-48CA-AC68-BF9C0260EAFC}"/>
    <cellStyle name="ExtStyle 16 2 3" xfId="6555" xr:uid="{00000000-0005-0000-0000-0000CD000000}"/>
    <cellStyle name="ExtStyle 16 2 4" xfId="9375" xr:uid="{9B3874F7-A79F-431B-B029-2A7D08B1A075}"/>
    <cellStyle name="ExtStyle 16 3" xfId="558" xr:uid="{00000000-0005-0000-0000-0000CF000000}"/>
    <cellStyle name="ExtStyle 16 3 2" xfId="1031" xr:uid="{00000000-0005-0000-0000-0000D0000000}"/>
    <cellStyle name="ExtStyle 16 3 2 2" xfId="6561" xr:uid="{00000000-0005-0000-0000-0000D0000000}"/>
    <cellStyle name="ExtStyle 16 3 3" xfId="6557" xr:uid="{00000000-0005-0000-0000-0000CF000000}"/>
    <cellStyle name="ExtStyle 16 3 4" xfId="9377" xr:uid="{9F6D8D20-BFF7-4CBF-A46E-915AF2E1DAA5}"/>
    <cellStyle name="ExtStyle 16 4" xfId="1271" xr:uid="{00000000-0005-0000-0000-0000D1000000}"/>
    <cellStyle name="ExtStyle 16 4 2" xfId="3255" xr:uid="{00000000-0005-0000-0000-0000D2000000}"/>
    <cellStyle name="ExtStyle 16 4 2 2" xfId="6579" xr:uid="{00000000-0005-0000-0000-0000D2000000}"/>
    <cellStyle name="ExtStyle 16 4 3" xfId="6563" xr:uid="{00000000-0005-0000-0000-0000D1000000}"/>
    <cellStyle name="ExtStyle 16 4 4" xfId="9378" xr:uid="{A3BBA744-185A-4C8C-9740-8FBBB25B74F8}"/>
    <cellStyle name="ExtStyle 16 5" xfId="1566" xr:uid="{00000000-0005-0000-0000-0000D3000000}"/>
    <cellStyle name="ExtStyle 16 5 2" xfId="3493" xr:uid="{00000000-0005-0000-0000-0000D4000000}"/>
    <cellStyle name="ExtStyle 16 5 2 2" xfId="6581" xr:uid="{00000000-0005-0000-0000-0000D4000000}"/>
    <cellStyle name="ExtStyle 16 5 3" xfId="6565" xr:uid="{00000000-0005-0000-0000-0000D3000000}"/>
    <cellStyle name="ExtStyle 16 6" xfId="1817" xr:uid="{00000000-0005-0000-0000-0000D5000000}"/>
    <cellStyle name="ExtStyle 16 6 2" xfId="3727" xr:uid="{00000000-0005-0000-0000-0000D6000000}"/>
    <cellStyle name="ExtStyle 16 6 2 2" xfId="6583" xr:uid="{00000000-0005-0000-0000-0000D6000000}"/>
    <cellStyle name="ExtStyle 16 6 3" xfId="6567" xr:uid="{00000000-0005-0000-0000-0000D5000000}"/>
    <cellStyle name="ExtStyle 16 7" xfId="2061" xr:uid="{00000000-0005-0000-0000-0000D7000000}"/>
    <cellStyle name="ExtStyle 16 7 2" xfId="3962" xr:uid="{00000000-0005-0000-0000-0000D8000000}"/>
    <cellStyle name="ExtStyle 16 7 2 2" xfId="6585" xr:uid="{00000000-0005-0000-0000-0000D8000000}"/>
    <cellStyle name="ExtStyle 16 7 3" xfId="6569" xr:uid="{00000000-0005-0000-0000-0000D7000000}"/>
    <cellStyle name="ExtStyle 16 8" xfId="2296" xr:uid="{00000000-0005-0000-0000-0000D9000000}"/>
    <cellStyle name="ExtStyle 16 8 2" xfId="4197" xr:uid="{00000000-0005-0000-0000-0000DA000000}"/>
    <cellStyle name="ExtStyle 16 8 2 2" xfId="6587" xr:uid="{00000000-0005-0000-0000-0000DA000000}"/>
    <cellStyle name="ExtStyle 16 8 3" xfId="6571" xr:uid="{00000000-0005-0000-0000-0000D9000000}"/>
    <cellStyle name="ExtStyle 16 9" xfId="2543" xr:uid="{00000000-0005-0000-0000-0000DB000000}"/>
    <cellStyle name="ExtStyle 16 9 2" xfId="4432" xr:uid="{00000000-0005-0000-0000-0000DC000000}"/>
    <cellStyle name="ExtStyle 16 9 2 2" xfId="6589" xr:uid="{00000000-0005-0000-0000-0000DC000000}"/>
    <cellStyle name="ExtStyle 16 9 3" xfId="6573" xr:uid="{00000000-0005-0000-0000-0000DB000000}"/>
    <cellStyle name="ExtStyle 17" xfId="91" xr:uid="{00000000-0005-0000-0000-0000DD000000}"/>
    <cellStyle name="ExtStyle 17 10" xfId="2778" xr:uid="{00000000-0005-0000-0000-0000DE000000}"/>
    <cellStyle name="ExtStyle 17 10 2" xfId="4667" xr:uid="{00000000-0005-0000-0000-0000DF000000}"/>
    <cellStyle name="ExtStyle 17 10 2 2" xfId="6592" xr:uid="{00000000-0005-0000-0000-0000DF000000}"/>
    <cellStyle name="ExtStyle 17 10 3" xfId="6576" xr:uid="{00000000-0005-0000-0000-0000DE000000}"/>
    <cellStyle name="ExtStyle 17 11" xfId="3015" xr:uid="{00000000-0005-0000-0000-0000E0000000}"/>
    <cellStyle name="ExtStyle 17 11 2" xfId="4901" xr:uid="{00000000-0005-0000-0000-0000E1000000}"/>
    <cellStyle name="ExtStyle 17 11 2 2" xfId="6594" xr:uid="{00000000-0005-0000-0000-0000E1000000}"/>
    <cellStyle name="ExtStyle 17 11 3" xfId="6578" xr:uid="{00000000-0005-0000-0000-0000E0000000}"/>
    <cellStyle name="ExtStyle 17 12" xfId="5137" xr:uid="{00000000-0005-0000-0000-0000E2000000}"/>
    <cellStyle name="ExtStyle 17 12 2" xfId="6597" xr:uid="{00000000-0005-0000-0000-0000E2000000}"/>
    <cellStyle name="ExtStyle 17 13" xfId="5404" xr:uid="{00000000-0005-0000-0000-0000E3000000}"/>
    <cellStyle name="ExtStyle 17 13 2" xfId="6847" xr:uid="{00000000-0005-0000-0000-0000E3000000}"/>
    <cellStyle name="ExtStyle 17 14" xfId="5605" xr:uid="{00000000-0005-0000-0000-0000E4000000}"/>
    <cellStyle name="ExtStyle 17 14 2" xfId="7025" xr:uid="{00000000-0005-0000-0000-0000E4000000}"/>
    <cellStyle name="ExtStyle 17 15" xfId="5720" xr:uid="{00000000-0005-0000-0000-0000E5000000}"/>
    <cellStyle name="ExtStyle 17 15 2" xfId="7140" xr:uid="{00000000-0005-0000-0000-0000E5000000}"/>
    <cellStyle name="ExtStyle 17 16" xfId="5984" xr:uid="{00000000-0005-0000-0000-0000E6000000}"/>
    <cellStyle name="ExtStyle 17 16 2" xfId="7404" xr:uid="{00000000-0005-0000-0000-0000E6000000}"/>
    <cellStyle name="ExtStyle 17 17" xfId="6211" xr:uid="{00000000-0005-0000-0000-0000E7000000}"/>
    <cellStyle name="ExtStyle 17 17 2" xfId="7489" xr:uid="{00000000-0005-0000-0000-0000E7000000}"/>
    <cellStyle name="ExtStyle 17 18" xfId="6554" xr:uid="{00000000-0005-0000-0000-0000DD000000}"/>
    <cellStyle name="ExtStyle 17 19" xfId="7772" xr:uid="{5D7DAD7F-8CBE-4AAB-9D89-22366F47C99E}"/>
    <cellStyle name="ExtStyle 17 2" xfId="325" xr:uid="{00000000-0005-0000-0000-0000E8000000}"/>
    <cellStyle name="ExtStyle 17 2 2" xfId="798" xr:uid="{00000000-0005-0000-0000-0000E9000000}"/>
    <cellStyle name="ExtStyle 17 2 2 2" xfId="6560" xr:uid="{00000000-0005-0000-0000-0000E9000000}"/>
    <cellStyle name="ExtStyle 17 2 2 3" xfId="9380" xr:uid="{6DC30639-1197-4863-ABC5-D11029D09E25}"/>
    <cellStyle name="ExtStyle 17 2 3" xfId="6556" xr:uid="{00000000-0005-0000-0000-0000E8000000}"/>
    <cellStyle name="ExtStyle 17 2 4" xfId="9379" xr:uid="{A475D84A-C65D-4CCC-A7E0-5543489975E8}"/>
    <cellStyle name="ExtStyle 17 3" xfId="559" xr:uid="{00000000-0005-0000-0000-0000EA000000}"/>
    <cellStyle name="ExtStyle 17 3 2" xfId="1032" xr:uid="{00000000-0005-0000-0000-0000EB000000}"/>
    <cellStyle name="ExtStyle 17 3 2 2" xfId="6562" xr:uid="{00000000-0005-0000-0000-0000EB000000}"/>
    <cellStyle name="ExtStyle 17 3 3" xfId="6558" xr:uid="{00000000-0005-0000-0000-0000EA000000}"/>
    <cellStyle name="ExtStyle 17 3 4" xfId="9381" xr:uid="{31D44F74-7977-43CE-9978-78C712108633}"/>
    <cellStyle name="ExtStyle 17 4" xfId="1272" xr:uid="{00000000-0005-0000-0000-0000EC000000}"/>
    <cellStyle name="ExtStyle 17 4 2" xfId="3256" xr:uid="{00000000-0005-0000-0000-0000ED000000}"/>
    <cellStyle name="ExtStyle 17 4 2 2" xfId="6580" xr:uid="{00000000-0005-0000-0000-0000ED000000}"/>
    <cellStyle name="ExtStyle 17 4 3" xfId="6564" xr:uid="{00000000-0005-0000-0000-0000EC000000}"/>
    <cellStyle name="ExtStyle 17 4 4" xfId="9382" xr:uid="{67B9B647-6CFD-40D9-89B6-3AF17B77D09D}"/>
    <cellStyle name="ExtStyle 17 5" xfId="1567" xr:uid="{00000000-0005-0000-0000-0000EE000000}"/>
    <cellStyle name="ExtStyle 17 5 2" xfId="3494" xr:uid="{00000000-0005-0000-0000-0000EF000000}"/>
    <cellStyle name="ExtStyle 17 5 2 2" xfId="6582" xr:uid="{00000000-0005-0000-0000-0000EF000000}"/>
    <cellStyle name="ExtStyle 17 5 3" xfId="6566" xr:uid="{00000000-0005-0000-0000-0000EE000000}"/>
    <cellStyle name="ExtStyle 17 6" xfId="1818" xr:uid="{00000000-0005-0000-0000-0000F0000000}"/>
    <cellStyle name="ExtStyle 17 6 2" xfId="3728" xr:uid="{00000000-0005-0000-0000-0000F1000000}"/>
    <cellStyle name="ExtStyle 17 6 2 2" xfId="6584" xr:uid="{00000000-0005-0000-0000-0000F1000000}"/>
    <cellStyle name="ExtStyle 17 6 3" xfId="6568" xr:uid="{00000000-0005-0000-0000-0000F0000000}"/>
    <cellStyle name="ExtStyle 17 7" xfId="2062" xr:uid="{00000000-0005-0000-0000-0000F2000000}"/>
    <cellStyle name="ExtStyle 17 7 2" xfId="3963" xr:uid="{00000000-0005-0000-0000-0000F3000000}"/>
    <cellStyle name="ExtStyle 17 7 2 2" xfId="6586" xr:uid="{00000000-0005-0000-0000-0000F3000000}"/>
    <cellStyle name="ExtStyle 17 7 3" xfId="6570" xr:uid="{00000000-0005-0000-0000-0000F2000000}"/>
    <cellStyle name="ExtStyle 17 8" xfId="2297" xr:uid="{00000000-0005-0000-0000-0000F4000000}"/>
    <cellStyle name="ExtStyle 17 8 2" xfId="4198" xr:uid="{00000000-0005-0000-0000-0000F5000000}"/>
    <cellStyle name="ExtStyle 17 8 2 2" xfId="6588" xr:uid="{00000000-0005-0000-0000-0000F5000000}"/>
    <cellStyle name="ExtStyle 17 8 3" xfId="6572" xr:uid="{00000000-0005-0000-0000-0000F4000000}"/>
    <cellStyle name="ExtStyle 17 9" xfId="2544" xr:uid="{00000000-0005-0000-0000-0000F6000000}"/>
    <cellStyle name="ExtStyle 17 9 2" xfId="4433" xr:uid="{00000000-0005-0000-0000-0000F7000000}"/>
    <cellStyle name="ExtStyle 17 9 2 2" xfId="6590" xr:uid="{00000000-0005-0000-0000-0000F7000000}"/>
    <cellStyle name="ExtStyle 17 9 3" xfId="6574" xr:uid="{00000000-0005-0000-0000-0000F6000000}"/>
    <cellStyle name="ExtStyle 18" xfId="92" xr:uid="{00000000-0005-0000-0000-0000F8000000}"/>
    <cellStyle name="ExtStyle 18 10" xfId="2779" xr:uid="{00000000-0005-0000-0000-0000F9000000}"/>
    <cellStyle name="ExtStyle 18 10 2" xfId="4668" xr:uid="{00000000-0005-0000-0000-0000FA000000}"/>
    <cellStyle name="ExtStyle 18 11" xfId="3016" xr:uid="{00000000-0005-0000-0000-0000FB000000}"/>
    <cellStyle name="ExtStyle 18 11 2" xfId="4902" xr:uid="{00000000-0005-0000-0000-0000FC000000}"/>
    <cellStyle name="ExtStyle 18 12" xfId="5138" xr:uid="{00000000-0005-0000-0000-0000FD000000}"/>
    <cellStyle name="ExtStyle 18 12 2" xfId="6598" xr:uid="{00000000-0005-0000-0000-0000FD000000}"/>
    <cellStyle name="ExtStyle 18 13" xfId="5405" xr:uid="{00000000-0005-0000-0000-0000FE000000}"/>
    <cellStyle name="ExtStyle 18 13 2" xfId="6848" xr:uid="{00000000-0005-0000-0000-0000FE000000}"/>
    <cellStyle name="ExtStyle 18 14" xfId="5606" xr:uid="{00000000-0005-0000-0000-0000FF000000}"/>
    <cellStyle name="ExtStyle 18 14 2" xfId="7026" xr:uid="{00000000-0005-0000-0000-0000FF000000}"/>
    <cellStyle name="ExtStyle 18 15" xfId="5721" xr:uid="{00000000-0005-0000-0000-000000010000}"/>
    <cellStyle name="ExtStyle 18 15 2" xfId="7141" xr:uid="{00000000-0005-0000-0000-000000010000}"/>
    <cellStyle name="ExtStyle 18 16" xfId="5985" xr:uid="{00000000-0005-0000-0000-000001010000}"/>
    <cellStyle name="ExtStyle 18 16 2" xfId="7405" xr:uid="{00000000-0005-0000-0000-000001010000}"/>
    <cellStyle name="ExtStyle 18 17" xfId="6212" xr:uid="{00000000-0005-0000-0000-000002010000}"/>
    <cellStyle name="ExtStyle 18 17 2" xfId="7490" xr:uid="{00000000-0005-0000-0000-000002010000}"/>
    <cellStyle name="ExtStyle 18 18" xfId="7773" xr:uid="{9CF51E61-9526-48DB-BD0A-C78B5882D460}"/>
    <cellStyle name="ExtStyle 18 19" xfId="9383" xr:uid="{BC00FD14-CCC6-48F5-BEDD-EED64BFB0D5C}"/>
    <cellStyle name="ExtStyle 18 2" xfId="326" xr:uid="{00000000-0005-0000-0000-000003010000}"/>
    <cellStyle name="ExtStyle 18 2 2" xfId="799" xr:uid="{00000000-0005-0000-0000-000004010000}"/>
    <cellStyle name="ExtStyle 18 3" xfId="560" xr:uid="{00000000-0005-0000-0000-000005010000}"/>
    <cellStyle name="ExtStyle 18 3 2" xfId="1033" xr:uid="{00000000-0005-0000-0000-000006010000}"/>
    <cellStyle name="ExtStyle 18 4" xfId="1273" xr:uid="{00000000-0005-0000-0000-000007010000}"/>
    <cellStyle name="ExtStyle 18 4 2" xfId="3257" xr:uid="{00000000-0005-0000-0000-000008010000}"/>
    <cellStyle name="ExtStyle 18 5" xfId="1568" xr:uid="{00000000-0005-0000-0000-000009010000}"/>
    <cellStyle name="ExtStyle 18 5 2" xfId="3495" xr:uid="{00000000-0005-0000-0000-00000A010000}"/>
    <cellStyle name="ExtStyle 18 6" xfId="1819" xr:uid="{00000000-0005-0000-0000-00000B010000}"/>
    <cellStyle name="ExtStyle 18 6 2" xfId="3729" xr:uid="{00000000-0005-0000-0000-00000C010000}"/>
    <cellStyle name="ExtStyle 18 7" xfId="2063" xr:uid="{00000000-0005-0000-0000-00000D010000}"/>
    <cellStyle name="ExtStyle 18 7 2" xfId="3964" xr:uid="{00000000-0005-0000-0000-00000E010000}"/>
    <cellStyle name="ExtStyle 18 8" xfId="2298" xr:uid="{00000000-0005-0000-0000-00000F010000}"/>
    <cellStyle name="ExtStyle 18 8 2" xfId="4199" xr:uid="{00000000-0005-0000-0000-000010010000}"/>
    <cellStyle name="ExtStyle 18 9" xfId="2545" xr:uid="{00000000-0005-0000-0000-000011010000}"/>
    <cellStyle name="ExtStyle 18 9 2" xfId="4434" xr:uid="{00000000-0005-0000-0000-000012010000}"/>
    <cellStyle name="ExtStyle 19" xfId="93" xr:uid="{00000000-0005-0000-0000-000013010000}"/>
    <cellStyle name="ExtStyle 19 10" xfId="2780" xr:uid="{00000000-0005-0000-0000-000014010000}"/>
    <cellStyle name="ExtStyle 19 10 2" xfId="4669" xr:uid="{00000000-0005-0000-0000-000015010000}"/>
    <cellStyle name="ExtStyle 19 11" xfId="3017" xr:uid="{00000000-0005-0000-0000-000016010000}"/>
    <cellStyle name="ExtStyle 19 11 2" xfId="4903" xr:uid="{00000000-0005-0000-0000-000017010000}"/>
    <cellStyle name="ExtStyle 19 12" xfId="5139" xr:uid="{00000000-0005-0000-0000-000018010000}"/>
    <cellStyle name="ExtStyle 19 12 2" xfId="6599" xr:uid="{00000000-0005-0000-0000-000018010000}"/>
    <cellStyle name="ExtStyle 19 13" xfId="5406" xr:uid="{00000000-0005-0000-0000-000019010000}"/>
    <cellStyle name="ExtStyle 19 13 2" xfId="6849" xr:uid="{00000000-0005-0000-0000-000019010000}"/>
    <cellStyle name="ExtStyle 19 14" xfId="5607" xr:uid="{00000000-0005-0000-0000-00001A010000}"/>
    <cellStyle name="ExtStyle 19 14 2" xfId="7027" xr:uid="{00000000-0005-0000-0000-00001A010000}"/>
    <cellStyle name="ExtStyle 19 15" xfId="5722" xr:uid="{00000000-0005-0000-0000-00001B010000}"/>
    <cellStyle name="ExtStyle 19 15 2" xfId="7142" xr:uid="{00000000-0005-0000-0000-00001B010000}"/>
    <cellStyle name="ExtStyle 19 16" xfId="5986" xr:uid="{00000000-0005-0000-0000-00001C010000}"/>
    <cellStyle name="ExtStyle 19 16 2" xfId="7406" xr:uid="{00000000-0005-0000-0000-00001C010000}"/>
    <cellStyle name="ExtStyle 19 17" xfId="6213" xr:uid="{00000000-0005-0000-0000-00001D010000}"/>
    <cellStyle name="ExtStyle 19 17 2" xfId="7491" xr:uid="{00000000-0005-0000-0000-00001D010000}"/>
    <cellStyle name="ExtStyle 19 18" xfId="7774" xr:uid="{B81F91D8-C91B-4385-9A36-DD75B42B1CF5}"/>
    <cellStyle name="ExtStyle 19 19" xfId="9384" xr:uid="{05304454-0643-4898-948B-91E1E77D4FFE}"/>
    <cellStyle name="ExtStyle 19 2" xfId="327" xr:uid="{00000000-0005-0000-0000-00001E010000}"/>
    <cellStyle name="ExtStyle 19 2 2" xfId="800" xr:uid="{00000000-0005-0000-0000-00001F010000}"/>
    <cellStyle name="ExtStyle 19 3" xfId="561" xr:uid="{00000000-0005-0000-0000-000020010000}"/>
    <cellStyle name="ExtStyle 19 3 2" xfId="1034" xr:uid="{00000000-0005-0000-0000-000021010000}"/>
    <cellStyle name="ExtStyle 19 4" xfId="1274" xr:uid="{00000000-0005-0000-0000-000022010000}"/>
    <cellStyle name="ExtStyle 19 4 2" xfId="3258" xr:uid="{00000000-0005-0000-0000-000023010000}"/>
    <cellStyle name="ExtStyle 19 5" xfId="1569" xr:uid="{00000000-0005-0000-0000-000024010000}"/>
    <cellStyle name="ExtStyle 19 5 2" xfId="3496" xr:uid="{00000000-0005-0000-0000-000025010000}"/>
    <cellStyle name="ExtStyle 19 6" xfId="1820" xr:uid="{00000000-0005-0000-0000-000026010000}"/>
    <cellStyle name="ExtStyle 19 6 2" xfId="3730" xr:uid="{00000000-0005-0000-0000-000027010000}"/>
    <cellStyle name="ExtStyle 19 7" xfId="2064" xr:uid="{00000000-0005-0000-0000-000028010000}"/>
    <cellStyle name="ExtStyle 19 7 2" xfId="3965" xr:uid="{00000000-0005-0000-0000-000029010000}"/>
    <cellStyle name="ExtStyle 19 8" xfId="2299" xr:uid="{00000000-0005-0000-0000-00002A010000}"/>
    <cellStyle name="ExtStyle 19 8 2" xfId="4200" xr:uid="{00000000-0005-0000-0000-00002B010000}"/>
    <cellStyle name="ExtStyle 19 9" xfId="2546" xr:uid="{00000000-0005-0000-0000-00002C010000}"/>
    <cellStyle name="ExtStyle 19 9 2" xfId="4435" xr:uid="{00000000-0005-0000-0000-00002D010000}"/>
    <cellStyle name="ExtStyle 20" xfId="94" xr:uid="{00000000-0005-0000-0000-00002E010000}"/>
    <cellStyle name="ExtStyle 20 10" xfId="2781" xr:uid="{00000000-0005-0000-0000-00002F010000}"/>
    <cellStyle name="ExtStyle 20 10 2" xfId="4670" xr:uid="{00000000-0005-0000-0000-000030010000}"/>
    <cellStyle name="ExtStyle 20 11" xfId="3018" xr:uid="{00000000-0005-0000-0000-000031010000}"/>
    <cellStyle name="ExtStyle 20 11 2" xfId="4904" xr:uid="{00000000-0005-0000-0000-000032010000}"/>
    <cellStyle name="ExtStyle 20 12" xfId="5140" xr:uid="{00000000-0005-0000-0000-000033010000}"/>
    <cellStyle name="ExtStyle 20 12 2" xfId="6600" xr:uid="{00000000-0005-0000-0000-000033010000}"/>
    <cellStyle name="ExtStyle 20 13" xfId="5407" xr:uid="{00000000-0005-0000-0000-000034010000}"/>
    <cellStyle name="ExtStyle 20 14" xfId="5608" xr:uid="{00000000-0005-0000-0000-000035010000}"/>
    <cellStyle name="ExtStyle 20 14 2" xfId="7028" xr:uid="{00000000-0005-0000-0000-000035010000}"/>
    <cellStyle name="ExtStyle 20 15" xfId="5723" xr:uid="{00000000-0005-0000-0000-000036010000}"/>
    <cellStyle name="ExtStyle 20 15 2" xfId="7143" xr:uid="{00000000-0005-0000-0000-000036010000}"/>
    <cellStyle name="ExtStyle 20 16" xfId="5987" xr:uid="{00000000-0005-0000-0000-000037010000}"/>
    <cellStyle name="ExtStyle 20 16 2" xfId="7407" xr:uid="{00000000-0005-0000-0000-000037010000}"/>
    <cellStyle name="ExtStyle 20 17" xfId="6214" xr:uid="{00000000-0005-0000-0000-000038010000}"/>
    <cellStyle name="ExtStyle 20 17 2" xfId="7492" xr:uid="{00000000-0005-0000-0000-000038010000}"/>
    <cellStyle name="ExtStyle 20 2" xfId="328" xr:uid="{00000000-0005-0000-0000-000039010000}"/>
    <cellStyle name="ExtStyle 20 2 2" xfId="801" xr:uid="{00000000-0005-0000-0000-00003A010000}"/>
    <cellStyle name="ExtStyle 20 2 2 2" xfId="7776" xr:uid="{8B0FDCBC-7DFE-4DCC-9E4B-5731E93A8148}"/>
    <cellStyle name="ExtStyle 20 2 3" xfId="7775" xr:uid="{93785BB2-F288-489E-A7C8-A0CE3550056D}"/>
    <cellStyle name="ExtStyle 20 3" xfId="562" xr:uid="{00000000-0005-0000-0000-00003B010000}"/>
    <cellStyle name="ExtStyle 20 3 2" xfId="1035" xr:uid="{00000000-0005-0000-0000-00003C010000}"/>
    <cellStyle name="ExtStyle 20 3 3" xfId="7777" xr:uid="{2F44C436-83FF-474B-9E34-246830CD99AC}"/>
    <cellStyle name="ExtStyle 20 4" xfId="1275" xr:uid="{00000000-0005-0000-0000-00003D010000}"/>
    <cellStyle name="ExtStyle 20 4 2" xfId="3259" xr:uid="{00000000-0005-0000-0000-00003E010000}"/>
    <cellStyle name="ExtStyle 20 5" xfId="1570" xr:uid="{00000000-0005-0000-0000-00003F010000}"/>
    <cellStyle name="ExtStyle 20 5 2" xfId="3497" xr:uid="{00000000-0005-0000-0000-000040010000}"/>
    <cellStyle name="ExtStyle 20 6" xfId="1821" xr:uid="{00000000-0005-0000-0000-000041010000}"/>
    <cellStyle name="ExtStyle 20 6 2" xfId="3731" xr:uid="{00000000-0005-0000-0000-000042010000}"/>
    <cellStyle name="ExtStyle 20 7" xfId="2065" xr:uid="{00000000-0005-0000-0000-000043010000}"/>
    <cellStyle name="ExtStyle 20 7 2" xfId="3966" xr:uid="{00000000-0005-0000-0000-000044010000}"/>
    <cellStyle name="ExtStyle 20 8" xfId="2300" xr:uid="{00000000-0005-0000-0000-000045010000}"/>
    <cellStyle name="ExtStyle 20 8 2" xfId="4201" xr:uid="{00000000-0005-0000-0000-000046010000}"/>
    <cellStyle name="ExtStyle 20 9" xfId="2547" xr:uid="{00000000-0005-0000-0000-000047010000}"/>
    <cellStyle name="ExtStyle 20 9 2" xfId="4436" xr:uid="{00000000-0005-0000-0000-000048010000}"/>
    <cellStyle name="ExtStyle 21" xfId="95" xr:uid="{00000000-0005-0000-0000-000049010000}"/>
    <cellStyle name="ExtStyle 21 10" xfId="2782" xr:uid="{00000000-0005-0000-0000-00004A010000}"/>
    <cellStyle name="ExtStyle 21 10 2" xfId="4671" xr:uid="{00000000-0005-0000-0000-00004B010000}"/>
    <cellStyle name="ExtStyle 21 11" xfId="3019" xr:uid="{00000000-0005-0000-0000-00004C010000}"/>
    <cellStyle name="ExtStyle 21 11 2" xfId="4905" xr:uid="{00000000-0005-0000-0000-00004D010000}"/>
    <cellStyle name="ExtStyle 21 12" xfId="5141" xr:uid="{00000000-0005-0000-0000-00004E010000}"/>
    <cellStyle name="ExtStyle 21 12 2" xfId="6601" xr:uid="{00000000-0005-0000-0000-00004E010000}"/>
    <cellStyle name="ExtStyle 21 13" xfId="5408" xr:uid="{00000000-0005-0000-0000-00004F010000}"/>
    <cellStyle name="ExtStyle 21 14" xfId="5609" xr:uid="{00000000-0005-0000-0000-000050010000}"/>
    <cellStyle name="ExtStyle 21 14 2" xfId="7029" xr:uid="{00000000-0005-0000-0000-000050010000}"/>
    <cellStyle name="ExtStyle 21 15" xfId="5724" xr:uid="{00000000-0005-0000-0000-000051010000}"/>
    <cellStyle name="ExtStyle 21 15 2" xfId="7144" xr:uid="{00000000-0005-0000-0000-000051010000}"/>
    <cellStyle name="ExtStyle 21 16" xfId="5988" xr:uid="{00000000-0005-0000-0000-000052010000}"/>
    <cellStyle name="ExtStyle 21 16 2" xfId="7408" xr:uid="{00000000-0005-0000-0000-000052010000}"/>
    <cellStyle name="ExtStyle 21 17" xfId="6215" xr:uid="{00000000-0005-0000-0000-000053010000}"/>
    <cellStyle name="ExtStyle 21 17 2" xfId="7493" xr:uid="{00000000-0005-0000-0000-000053010000}"/>
    <cellStyle name="ExtStyle 21 2" xfId="329" xr:uid="{00000000-0005-0000-0000-000054010000}"/>
    <cellStyle name="ExtStyle 21 2 2" xfId="802" xr:uid="{00000000-0005-0000-0000-000055010000}"/>
    <cellStyle name="ExtStyle 21 2 2 2" xfId="7779" xr:uid="{9134256A-8D72-4DA0-BA6C-DAB41B376C33}"/>
    <cellStyle name="ExtStyle 21 2 3" xfId="7778" xr:uid="{2832C23B-C12F-4C6B-9DCB-C59891C3C6E6}"/>
    <cellStyle name="ExtStyle 21 3" xfId="563" xr:uid="{00000000-0005-0000-0000-000056010000}"/>
    <cellStyle name="ExtStyle 21 3 2" xfId="1036" xr:uid="{00000000-0005-0000-0000-000057010000}"/>
    <cellStyle name="ExtStyle 21 3 3" xfId="7780" xr:uid="{0FEB3291-4A58-4DE1-BD42-9E9DAABE90FC}"/>
    <cellStyle name="ExtStyle 21 4" xfId="1276" xr:uid="{00000000-0005-0000-0000-000058010000}"/>
    <cellStyle name="ExtStyle 21 4 2" xfId="3260" xr:uid="{00000000-0005-0000-0000-000059010000}"/>
    <cellStyle name="ExtStyle 21 5" xfId="1571" xr:uid="{00000000-0005-0000-0000-00005A010000}"/>
    <cellStyle name="ExtStyle 21 5 2" xfId="3498" xr:uid="{00000000-0005-0000-0000-00005B010000}"/>
    <cellStyle name="ExtStyle 21 6" xfId="1822" xr:uid="{00000000-0005-0000-0000-00005C010000}"/>
    <cellStyle name="ExtStyle 21 6 2" xfId="3732" xr:uid="{00000000-0005-0000-0000-00005D010000}"/>
    <cellStyle name="ExtStyle 21 7" xfId="2066" xr:uid="{00000000-0005-0000-0000-00005E010000}"/>
    <cellStyle name="ExtStyle 21 7 2" xfId="3967" xr:uid="{00000000-0005-0000-0000-00005F010000}"/>
    <cellStyle name="ExtStyle 21 8" xfId="2301" xr:uid="{00000000-0005-0000-0000-000060010000}"/>
    <cellStyle name="ExtStyle 21 8 2" xfId="4202" xr:uid="{00000000-0005-0000-0000-000061010000}"/>
    <cellStyle name="ExtStyle 21 9" xfId="2548" xr:uid="{00000000-0005-0000-0000-000062010000}"/>
    <cellStyle name="ExtStyle 21 9 2" xfId="4437" xr:uid="{00000000-0005-0000-0000-000063010000}"/>
    <cellStyle name="ExtStyle 22" xfId="96" xr:uid="{00000000-0005-0000-0000-000064010000}"/>
    <cellStyle name="ExtStyle 22 10" xfId="2783" xr:uid="{00000000-0005-0000-0000-000065010000}"/>
    <cellStyle name="ExtStyle 22 10 2" xfId="4672" xr:uid="{00000000-0005-0000-0000-000066010000}"/>
    <cellStyle name="ExtStyle 22 11" xfId="3020" xr:uid="{00000000-0005-0000-0000-000067010000}"/>
    <cellStyle name="ExtStyle 22 11 2" xfId="4906" xr:uid="{00000000-0005-0000-0000-000068010000}"/>
    <cellStyle name="ExtStyle 22 12" xfId="5142" xr:uid="{00000000-0005-0000-0000-000069010000}"/>
    <cellStyle name="ExtStyle 22 12 2" xfId="6602" xr:uid="{00000000-0005-0000-0000-000069010000}"/>
    <cellStyle name="ExtStyle 22 13" xfId="5409" xr:uid="{00000000-0005-0000-0000-00006A010000}"/>
    <cellStyle name="ExtStyle 22 13 2" xfId="6850" xr:uid="{00000000-0005-0000-0000-00006A010000}"/>
    <cellStyle name="ExtStyle 22 14" xfId="5725" xr:uid="{00000000-0005-0000-0000-00006B010000}"/>
    <cellStyle name="ExtStyle 22 14 2" xfId="7145" xr:uid="{00000000-0005-0000-0000-00006B010000}"/>
    <cellStyle name="ExtStyle 22 15" xfId="6216" xr:uid="{00000000-0005-0000-0000-00006C010000}"/>
    <cellStyle name="ExtStyle 22 15 2" xfId="7494" xr:uid="{00000000-0005-0000-0000-00006C010000}"/>
    <cellStyle name="ExtStyle 22 2" xfId="330" xr:uid="{00000000-0005-0000-0000-00006D010000}"/>
    <cellStyle name="ExtStyle 22 2 2" xfId="803" xr:uid="{00000000-0005-0000-0000-00006E010000}"/>
    <cellStyle name="ExtStyle 22 3" xfId="564" xr:uid="{00000000-0005-0000-0000-00006F010000}"/>
    <cellStyle name="ExtStyle 22 3 2" xfId="1037" xr:uid="{00000000-0005-0000-0000-000070010000}"/>
    <cellStyle name="ExtStyle 22 4" xfId="1277" xr:uid="{00000000-0005-0000-0000-000071010000}"/>
    <cellStyle name="ExtStyle 22 4 2" xfId="3261" xr:uid="{00000000-0005-0000-0000-000072010000}"/>
    <cellStyle name="ExtStyle 22 5" xfId="1572" xr:uid="{00000000-0005-0000-0000-000073010000}"/>
    <cellStyle name="ExtStyle 22 5 2" xfId="3499" xr:uid="{00000000-0005-0000-0000-000074010000}"/>
    <cellStyle name="ExtStyle 22 6" xfId="1823" xr:uid="{00000000-0005-0000-0000-000075010000}"/>
    <cellStyle name="ExtStyle 22 6 2" xfId="3733" xr:uid="{00000000-0005-0000-0000-000076010000}"/>
    <cellStyle name="ExtStyle 22 7" xfId="2067" xr:uid="{00000000-0005-0000-0000-000077010000}"/>
    <cellStyle name="ExtStyle 22 7 2" xfId="3968" xr:uid="{00000000-0005-0000-0000-000078010000}"/>
    <cellStyle name="ExtStyle 22 8" xfId="2302" xr:uid="{00000000-0005-0000-0000-000079010000}"/>
    <cellStyle name="ExtStyle 22 8 2" xfId="4203" xr:uid="{00000000-0005-0000-0000-00007A010000}"/>
    <cellStyle name="ExtStyle 22 9" xfId="2549" xr:uid="{00000000-0005-0000-0000-00007B010000}"/>
    <cellStyle name="ExtStyle 22 9 2" xfId="4438" xr:uid="{00000000-0005-0000-0000-00007C010000}"/>
    <cellStyle name="ExtStyle 28" xfId="97" xr:uid="{00000000-0005-0000-0000-00007D010000}"/>
    <cellStyle name="ExtStyle 28 10" xfId="2784" xr:uid="{00000000-0005-0000-0000-00007E010000}"/>
    <cellStyle name="ExtStyle 28 10 2" xfId="4673" xr:uid="{00000000-0005-0000-0000-00007F010000}"/>
    <cellStyle name="ExtStyle 28 11" xfId="3021" xr:uid="{00000000-0005-0000-0000-000080010000}"/>
    <cellStyle name="ExtStyle 28 11 2" xfId="4907" xr:uid="{00000000-0005-0000-0000-000081010000}"/>
    <cellStyle name="ExtStyle 28 12" xfId="5143" xr:uid="{00000000-0005-0000-0000-000082010000}"/>
    <cellStyle name="ExtStyle 28 12 2" xfId="6603" xr:uid="{00000000-0005-0000-0000-000082010000}"/>
    <cellStyle name="ExtStyle 28 13" xfId="5410" xr:uid="{00000000-0005-0000-0000-000083010000}"/>
    <cellStyle name="ExtStyle 28 14" xfId="5610" xr:uid="{00000000-0005-0000-0000-000084010000}"/>
    <cellStyle name="ExtStyle 28 14 2" xfId="7030" xr:uid="{00000000-0005-0000-0000-000084010000}"/>
    <cellStyle name="ExtStyle 28 15" xfId="5726" xr:uid="{00000000-0005-0000-0000-000085010000}"/>
    <cellStyle name="ExtStyle 28 15 2" xfId="7146" xr:uid="{00000000-0005-0000-0000-000085010000}"/>
    <cellStyle name="ExtStyle 28 16" xfId="5989" xr:uid="{00000000-0005-0000-0000-000086010000}"/>
    <cellStyle name="ExtStyle 28 16 2" xfId="7409" xr:uid="{00000000-0005-0000-0000-000086010000}"/>
    <cellStyle name="ExtStyle 28 17" xfId="6217" xr:uid="{00000000-0005-0000-0000-000087010000}"/>
    <cellStyle name="ExtStyle 28 17 2" xfId="7495" xr:uid="{00000000-0005-0000-0000-000087010000}"/>
    <cellStyle name="ExtStyle 28 2" xfId="331" xr:uid="{00000000-0005-0000-0000-000088010000}"/>
    <cellStyle name="ExtStyle 28 2 2" xfId="804" xr:uid="{00000000-0005-0000-0000-000089010000}"/>
    <cellStyle name="ExtStyle 28 2 2 2" xfId="7782" xr:uid="{60B0B1DD-3724-4998-BA36-F48BC8893AC7}"/>
    <cellStyle name="ExtStyle 28 2 3" xfId="7781" xr:uid="{2885EA59-56F9-4F48-ABC2-0980B53ADE8F}"/>
    <cellStyle name="ExtStyle 28 3" xfId="565" xr:uid="{00000000-0005-0000-0000-00008A010000}"/>
    <cellStyle name="ExtStyle 28 3 2" xfId="1038" xr:uid="{00000000-0005-0000-0000-00008B010000}"/>
    <cellStyle name="ExtStyle 28 3 3" xfId="7783" xr:uid="{A510CA46-FBC9-4966-8752-685BB5004B87}"/>
    <cellStyle name="ExtStyle 28 4" xfId="1278" xr:uid="{00000000-0005-0000-0000-00008C010000}"/>
    <cellStyle name="ExtStyle 28 4 2" xfId="3262" xr:uid="{00000000-0005-0000-0000-00008D010000}"/>
    <cellStyle name="ExtStyle 28 5" xfId="1573" xr:uid="{00000000-0005-0000-0000-00008E010000}"/>
    <cellStyle name="ExtStyle 28 5 2" xfId="3500" xr:uid="{00000000-0005-0000-0000-00008F010000}"/>
    <cellStyle name="ExtStyle 28 6" xfId="1824" xr:uid="{00000000-0005-0000-0000-000090010000}"/>
    <cellStyle name="ExtStyle 28 6 2" xfId="3734" xr:uid="{00000000-0005-0000-0000-000091010000}"/>
    <cellStyle name="ExtStyle 28 7" xfId="2068" xr:uid="{00000000-0005-0000-0000-000092010000}"/>
    <cellStyle name="ExtStyle 28 7 2" xfId="3969" xr:uid="{00000000-0005-0000-0000-000093010000}"/>
    <cellStyle name="ExtStyle 28 8" xfId="2303" xr:uid="{00000000-0005-0000-0000-000094010000}"/>
    <cellStyle name="ExtStyle 28 8 2" xfId="4204" xr:uid="{00000000-0005-0000-0000-000095010000}"/>
    <cellStyle name="ExtStyle 28 9" xfId="2550" xr:uid="{00000000-0005-0000-0000-000096010000}"/>
    <cellStyle name="ExtStyle 28 9 2" xfId="4439" xr:uid="{00000000-0005-0000-0000-000097010000}"/>
    <cellStyle name="ExtStyle 29" xfId="98" xr:uid="{00000000-0005-0000-0000-000098010000}"/>
    <cellStyle name="ExtStyle 29 10" xfId="2785" xr:uid="{00000000-0005-0000-0000-000099010000}"/>
    <cellStyle name="ExtStyle 29 10 2" xfId="4674" xr:uid="{00000000-0005-0000-0000-00009A010000}"/>
    <cellStyle name="ExtStyle 29 11" xfId="3022" xr:uid="{00000000-0005-0000-0000-00009B010000}"/>
    <cellStyle name="ExtStyle 29 11 2" xfId="4908" xr:uid="{00000000-0005-0000-0000-00009C010000}"/>
    <cellStyle name="ExtStyle 29 12" xfId="5144" xr:uid="{00000000-0005-0000-0000-00009D010000}"/>
    <cellStyle name="ExtStyle 29 12 2" xfId="6604" xr:uid="{00000000-0005-0000-0000-00009D010000}"/>
    <cellStyle name="ExtStyle 29 13" xfId="5411" xr:uid="{00000000-0005-0000-0000-00009E010000}"/>
    <cellStyle name="ExtStyle 29 14" xfId="5611" xr:uid="{00000000-0005-0000-0000-00009F010000}"/>
    <cellStyle name="ExtStyle 29 14 2" xfId="7031" xr:uid="{00000000-0005-0000-0000-00009F010000}"/>
    <cellStyle name="ExtStyle 29 15" xfId="5727" xr:uid="{00000000-0005-0000-0000-0000A0010000}"/>
    <cellStyle name="ExtStyle 29 15 2" xfId="7147" xr:uid="{00000000-0005-0000-0000-0000A0010000}"/>
    <cellStyle name="ExtStyle 29 16" xfId="5990" xr:uid="{00000000-0005-0000-0000-0000A1010000}"/>
    <cellStyle name="ExtStyle 29 16 2" xfId="7410" xr:uid="{00000000-0005-0000-0000-0000A1010000}"/>
    <cellStyle name="ExtStyle 29 17" xfId="6218" xr:uid="{00000000-0005-0000-0000-0000A2010000}"/>
    <cellStyle name="ExtStyle 29 17 2" xfId="7496" xr:uid="{00000000-0005-0000-0000-0000A2010000}"/>
    <cellStyle name="ExtStyle 29 2" xfId="332" xr:uid="{00000000-0005-0000-0000-0000A3010000}"/>
    <cellStyle name="ExtStyle 29 2 2" xfId="805" xr:uid="{00000000-0005-0000-0000-0000A4010000}"/>
    <cellStyle name="ExtStyle 29 2 2 2" xfId="7785" xr:uid="{61164FF1-DBB1-4058-BFD2-AFA6419B0A59}"/>
    <cellStyle name="ExtStyle 29 2 3" xfId="7784" xr:uid="{D1496FC2-07FA-4ABB-805E-910027EED3A5}"/>
    <cellStyle name="ExtStyle 29 3" xfId="566" xr:uid="{00000000-0005-0000-0000-0000A5010000}"/>
    <cellStyle name="ExtStyle 29 3 2" xfId="1039" xr:uid="{00000000-0005-0000-0000-0000A6010000}"/>
    <cellStyle name="ExtStyle 29 3 3" xfId="7786" xr:uid="{A3EF1EDD-C9E2-4697-AFFA-9235386A9550}"/>
    <cellStyle name="ExtStyle 29 4" xfId="1279" xr:uid="{00000000-0005-0000-0000-0000A7010000}"/>
    <cellStyle name="ExtStyle 29 4 2" xfId="3263" xr:uid="{00000000-0005-0000-0000-0000A8010000}"/>
    <cellStyle name="ExtStyle 29 5" xfId="1574" xr:uid="{00000000-0005-0000-0000-0000A9010000}"/>
    <cellStyle name="ExtStyle 29 5 2" xfId="3501" xr:uid="{00000000-0005-0000-0000-0000AA010000}"/>
    <cellStyle name="ExtStyle 29 6" xfId="1825" xr:uid="{00000000-0005-0000-0000-0000AB010000}"/>
    <cellStyle name="ExtStyle 29 6 2" xfId="3735" xr:uid="{00000000-0005-0000-0000-0000AC010000}"/>
    <cellStyle name="ExtStyle 29 7" xfId="2069" xr:uid="{00000000-0005-0000-0000-0000AD010000}"/>
    <cellStyle name="ExtStyle 29 7 2" xfId="3970" xr:uid="{00000000-0005-0000-0000-0000AE010000}"/>
    <cellStyle name="ExtStyle 29 8" xfId="2304" xr:uid="{00000000-0005-0000-0000-0000AF010000}"/>
    <cellStyle name="ExtStyle 29 8 2" xfId="4205" xr:uid="{00000000-0005-0000-0000-0000B0010000}"/>
    <cellStyle name="ExtStyle 29 9" xfId="2551" xr:uid="{00000000-0005-0000-0000-0000B1010000}"/>
    <cellStyle name="ExtStyle 29 9 2" xfId="4440" xr:uid="{00000000-0005-0000-0000-0000B2010000}"/>
    <cellStyle name="ExtStyle 30" xfId="99" xr:uid="{00000000-0005-0000-0000-0000B3010000}"/>
    <cellStyle name="ExtStyle 30 10" xfId="2786" xr:uid="{00000000-0005-0000-0000-0000B4010000}"/>
    <cellStyle name="ExtStyle 30 10 2" xfId="4675" xr:uid="{00000000-0005-0000-0000-0000B5010000}"/>
    <cellStyle name="ExtStyle 30 11" xfId="3023" xr:uid="{00000000-0005-0000-0000-0000B6010000}"/>
    <cellStyle name="ExtStyle 30 11 2" xfId="4909" xr:uid="{00000000-0005-0000-0000-0000B7010000}"/>
    <cellStyle name="ExtStyle 30 12" xfId="5145" xr:uid="{00000000-0005-0000-0000-0000B8010000}"/>
    <cellStyle name="ExtStyle 30 12 2" xfId="6605" xr:uid="{00000000-0005-0000-0000-0000B8010000}"/>
    <cellStyle name="ExtStyle 30 13" xfId="5412" xr:uid="{00000000-0005-0000-0000-0000B9010000}"/>
    <cellStyle name="ExtStyle 30 13 2" xfId="6851" xr:uid="{00000000-0005-0000-0000-0000B9010000}"/>
    <cellStyle name="ExtStyle 30 14" xfId="5728" xr:uid="{00000000-0005-0000-0000-0000BA010000}"/>
    <cellStyle name="ExtStyle 30 14 2" xfId="7148" xr:uid="{00000000-0005-0000-0000-0000BA010000}"/>
    <cellStyle name="ExtStyle 30 15" xfId="6219" xr:uid="{00000000-0005-0000-0000-0000BB010000}"/>
    <cellStyle name="ExtStyle 30 15 2" xfId="7497" xr:uid="{00000000-0005-0000-0000-0000BB010000}"/>
    <cellStyle name="ExtStyle 30 2" xfId="333" xr:uid="{00000000-0005-0000-0000-0000BC010000}"/>
    <cellStyle name="ExtStyle 30 2 2" xfId="806" xr:uid="{00000000-0005-0000-0000-0000BD010000}"/>
    <cellStyle name="ExtStyle 30 3" xfId="567" xr:uid="{00000000-0005-0000-0000-0000BE010000}"/>
    <cellStyle name="ExtStyle 30 3 2" xfId="1040" xr:uid="{00000000-0005-0000-0000-0000BF010000}"/>
    <cellStyle name="ExtStyle 30 4" xfId="1280" xr:uid="{00000000-0005-0000-0000-0000C0010000}"/>
    <cellStyle name="ExtStyle 30 4 2" xfId="3264" xr:uid="{00000000-0005-0000-0000-0000C1010000}"/>
    <cellStyle name="ExtStyle 30 5" xfId="1575" xr:uid="{00000000-0005-0000-0000-0000C2010000}"/>
    <cellStyle name="ExtStyle 30 5 2" xfId="3502" xr:uid="{00000000-0005-0000-0000-0000C3010000}"/>
    <cellStyle name="ExtStyle 30 6" xfId="1826" xr:uid="{00000000-0005-0000-0000-0000C4010000}"/>
    <cellStyle name="ExtStyle 30 6 2" xfId="3736" xr:uid="{00000000-0005-0000-0000-0000C5010000}"/>
    <cellStyle name="ExtStyle 30 7" xfId="2070" xr:uid="{00000000-0005-0000-0000-0000C6010000}"/>
    <cellStyle name="ExtStyle 30 7 2" xfId="3971" xr:uid="{00000000-0005-0000-0000-0000C7010000}"/>
    <cellStyle name="ExtStyle 30 8" xfId="2305" xr:uid="{00000000-0005-0000-0000-0000C8010000}"/>
    <cellStyle name="ExtStyle 30 8 2" xfId="4206" xr:uid="{00000000-0005-0000-0000-0000C9010000}"/>
    <cellStyle name="ExtStyle 30 9" xfId="2552" xr:uid="{00000000-0005-0000-0000-0000CA010000}"/>
    <cellStyle name="ExtStyle 30 9 2" xfId="4441" xr:uid="{00000000-0005-0000-0000-0000CB010000}"/>
    <cellStyle name="ExtStyle 31" xfId="100" xr:uid="{00000000-0005-0000-0000-0000CC010000}"/>
    <cellStyle name="ExtStyle 31 10" xfId="2787" xr:uid="{00000000-0005-0000-0000-0000CD010000}"/>
    <cellStyle name="ExtStyle 31 10 2" xfId="4676" xr:uid="{00000000-0005-0000-0000-0000CE010000}"/>
    <cellStyle name="ExtStyle 31 11" xfId="3024" xr:uid="{00000000-0005-0000-0000-0000CF010000}"/>
    <cellStyle name="ExtStyle 31 11 2" xfId="4910" xr:uid="{00000000-0005-0000-0000-0000D0010000}"/>
    <cellStyle name="ExtStyle 31 12" xfId="5146" xr:uid="{00000000-0005-0000-0000-0000D1010000}"/>
    <cellStyle name="ExtStyle 31 12 2" xfId="6606" xr:uid="{00000000-0005-0000-0000-0000D1010000}"/>
    <cellStyle name="ExtStyle 31 13" xfId="5413" xr:uid="{00000000-0005-0000-0000-0000D2010000}"/>
    <cellStyle name="ExtStyle 31 14" xfId="5612" xr:uid="{00000000-0005-0000-0000-0000D3010000}"/>
    <cellStyle name="ExtStyle 31 14 2" xfId="7032" xr:uid="{00000000-0005-0000-0000-0000D3010000}"/>
    <cellStyle name="ExtStyle 31 15" xfId="5729" xr:uid="{00000000-0005-0000-0000-0000D4010000}"/>
    <cellStyle name="ExtStyle 31 15 2" xfId="7149" xr:uid="{00000000-0005-0000-0000-0000D4010000}"/>
    <cellStyle name="ExtStyle 31 16" xfId="5991" xr:uid="{00000000-0005-0000-0000-0000D5010000}"/>
    <cellStyle name="ExtStyle 31 16 2" xfId="7411" xr:uid="{00000000-0005-0000-0000-0000D5010000}"/>
    <cellStyle name="ExtStyle 31 17" xfId="6220" xr:uid="{00000000-0005-0000-0000-0000D6010000}"/>
    <cellStyle name="ExtStyle 31 17 2" xfId="7498" xr:uid="{00000000-0005-0000-0000-0000D6010000}"/>
    <cellStyle name="ExtStyle 31 2" xfId="334" xr:uid="{00000000-0005-0000-0000-0000D7010000}"/>
    <cellStyle name="ExtStyle 31 2 2" xfId="807" xr:uid="{00000000-0005-0000-0000-0000D8010000}"/>
    <cellStyle name="ExtStyle 31 2 2 2" xfId="7788" xr:uid="{F9D122A5-B718-4CD2-85CD-41E661EE3E04}"/>
    <cellStyle name="ExtStyle 31 2 3" xfId="7787" xr:uid="{4F87F646-CECE-40E1-82DF-15B20CC978DB}"/>
    <cellStyle name="ExtStyle 31 3" xfId="568" xr:uid="{00000000-0005-0000-0000-0000D9010000}"/>
    <cellStyle name="ExtStyle 31 3 2" xfId="1041" xr:uid="{00000000-0005-0000-0000-0000DA010000}"/>
    <cellStyle name="ExtStyle 31 3 3" xfId="7789" xr:uid="{D31FAF20-929A-495A-948A-337F8230E3B7}"/>
    <cellStyle name="ExtStyle 31 4" xfId="1281" xr:uid="{00000000-0005-0000-0000-0000DB010000}"/>
    <cellStyle name="ExtStyle 31 4 2" xfId="3265" xr:uid="{00000000-0005-0000-0000-0000DC010000}"/>
    <cellStyle name="ExtStyle 31 5" xfId="1576" xr:uid="{00000000-0005-0000-0000-0000DD010000}"/>
    <cellStyle name="ExtStyle 31 5 2" xfId="3503" xr:uid="{00000000-0005-0000-0000-0000DE010000}"/>
    <cellStyle name="ExtStyle 31 6" xfId="1827" xr:uid="{00000000-0005-0000-0000-0000DF010000}"/>
    <cellStyle name="ExtStyle 31 6 2" xfId="3737" xr:uid="{00000000-0005-0000-0000-0000E0010000}"/>
    <cellStyle name="ExtStyle 31 7" xfId="2071" xr:uid="{00000000-0005-0000-0000-0000E1010000}"/>
    <cellStyle name="ExtStyle 31 7 2" xfId="3972" xr:uid="{00000000-0005-0000-0000-0000E2010000}"/>
    <cellStyle name="ExtStyle 31 8" xfId="2306" xr:uid="{00000000-0005-0000-0000-0000E3010000}"/>
    <cellStyle name="ExtStyle 31 8 2" xfId="4207" xr:uid="{00000000-0005-0000-0000-0000E4010000}"/>
    <cellStyle name="ExtStyle 31 9" xfId="2553" xr:uid="{00000000-0005-0000-0000-0000E5010000}"/>
    <cellStyle name="ExtStyle 31 9 2" xfId="4442" xr:uid="{00000000-0005-0000-0000-0000E6010000}"/>
    <cellStyle name="ExtStyle 32" xfId="101" xr:uid="{00000000-0005-0000-0000-0000E7010000}"/>
    <cellStyle name="ExtStyle 32 10" xfId="2788" xr:uid="{00000000-0005-0000-0000-0000E8010000}"/>
    <cellStyle name="ExtStyle 32 10 2" xfId="4677" xr:uid="{00000000-0005-0000-0000-0000E9010000}"/>
    <cellStyle name="ExtStyle 32 11" xfId="3025" xr:uid="{00000000-0005-0000-0000-0000EA010000}"/>
    <cellStyle name="ExtStyle 32 11 2" xfId="4911" xr:uid="{00000000-0005-0000-0000-0000EB010000}"/>
    <cellStyle name="ExtStyle 32 12" xfId="5147" xr:uid="{00000000-0005-0000-0000-0000EC010000}"/>
    <cellStyle name="ExtStyle 32 12 2" xfId="6607" xr:uid="{00000000-0005-0000-0000-0000EC010000}"/>
    <cellStyle name="ExtStyle 32 13" xfId="5414" xr:uid="{00000000-0005-0000-0000-0000ED010000}"/>
    <cellStyle name="ExtStyle 32 14" xfId="5613" xr:uid="{00000000-0005-0000-0000-0000EE010000}"/>
    <cellStyle name="ExtStyle 32 14 2" xfId="7033" xr:uid="{00000000-0005-0000-0000-0000EE010000}"/>
    <cellStyle name="ExtStyle 32 15" xfId="5730" xr:uid="{00000000-0005-0000-0000-0000EF010000}"/>
    <cellStyle name="ExtStyle 32 15 2" xfId="7150" xr:uid="{00000000-0005-0000-0000-0000EF010000}"/>
    <cellStyle name="ExtStyle 32 16" xfId="5992" xr:uid="{00000000-0005-0000-0000-0000F0010000}"/>
    <cellStyle name="ExtStyle 32 16 2" xfId="7412" xr:uid="{00000000-0005-0000-0000-0000F0010000}"/>
    <cellStyle name="ExtStyle 32 17" xfId="6221" xr:uid="{00000000-0005-0000-0000-0000F1010000}"/>
    <cellStyle name="ExtStyle 32 17 2" xfId="7499" xr:uid="{00000000-0005-0000-0000-0000F1010000}"/>
    <cellStyle name="ExtStyle 32 2" xfId="335" xr:uid="{00000000-0005-0000-0000-0000F2010000}"/>
    <cellStyle name="ExtStyle 32 2 2" xfId="808" xr:uid="{00000000-0005-0000-0000-0000F3010000}"/>
    <cellStyle name="ExtStyle 32 2 2 2" xfId="7791" xr:uid="{164B40D6-EB15-48EE-A5CE-75F341EDEB96}"/>
    <cellStyle name="ExtStyle 32 2 3" xfId="7790" xr:uid="{03803E92-1547-424E-92AB-A9FCE6535349}"/>
    <cellStyle name="ExtStyle 32 3" xfId="569" xr:uid="{00000000-0005-0000-0000-0000F4010000}"/>
    <cellStyle name="ExtStyle 32 3 2" xfId="1042" xr:uid="{00000000-0005-0000-0000-0000F5010000}"/>
    <cellStyle name="ExtStyle 32 3 3" xfId="7792" xr:uid="{AC9A6711-4EB1-493C-86CD-5C432F3576C3}"/>
    <cellStyle name="ExtStyle 32 4" xfId="1282" xr:uid="{00000000-0005-0000-0000-0000F6010000}"/>
    <cellStyle name="ExtStyle 32 4 2" xfId="3266" xr:uid="{00000000-0005-0000-0000-0000F7010000}"/>
    <cellStyle name="ExtStyle 32 5" xfId="1577" xr:uid="{00000000-0005-0000-0000-0000F8010000}"/>
    <cellStyle name="ExtStyle 32 5 2" xfId="3504" xr:uid="{00000000-0005-0000-0000-0000F9010000}"/>
    <cellStyle name="ExtStyle 32 6" xfId="1828" xr:uid="{00000000-0005-0000-0000-0000FA010000}"/>
    <cellStyle name="ExtStyle 32 6 2" xfId="3738" xr:uid="{00000000-0005-0000-0000-0000FB010000}"/>
    <cellStyle name="ExtStyle 32 7" xfId="2072" xr:uid="{00000000-0005-0000-0000-0000FC010000}"/>
    <cellStyle name="ExtStyle 32 7 2" xfId="3973" xr:uid="{00000000-0005-0000-0000-0000FD010000}"/>
    <cellStyle name="ExtStyle 32 8" xfId="2307" xr:uid="{00000000-0005-0000-0000-0000FE010000}"/>
    <cellStyle name="ExtStyle 32 8 2" xfId="4208" xr:uid="{00000000-0005-0000-0000-0000FF010000}"/>
    <cellStyle name="ExtStyle 32 9" xfId="2554" xr:uid="{00000000-0005-0000-0000-000000020000}"/>
    <cellStyle name="ExtStyle 32 9 2" xfId="4443" xr:uid="{00000000-0005-0000-0000-000001020000}"/>
    <cellStyle name="ExtStyle 33" xfId="102" xr:uid="{00000000-0005-0000-0000-000002020000}"/>
    <cellStyle name="ExtStyle 33 10" xfId="2789" xr:uid="{00000000-0005-0000-0000-000003020000}"/>
    <cellStyle name="ExtStyle 33 10 2" xfId="4678" xr:uid="{00000000-0005-0000-0000-000004020000}"/>
    <cellStyle name="ExtStyle 33 11" xfId="3026" xr:uid="{00000000-0005-0000-0000-000005020000}"/>
    <cellStyle name="ExtStyle 33 11 2" xfId="4912" xr:uid="{00000000-0005-0000-0000-000006020000}"/>
    <cellStyle name="ExtStyle 33 12" xfId="5148" xr:uid="{00000000-0005-0000-0000-000007020000}"/>
    <cellStyle name="ExtStyle 33 12 2" xfId="6608" xr:uid="{00000000-0005-0000-0000-000007020000}"/>
    <cellStyle name="ExtStyle 33 13" xfId="5415" xr:uid="{00000000-0005-0000-0000-000008020000}"/>
    <cellStyle name="ExtStyle 33 13 2" xfId="6852" xr:uid="{00000000-0005-0000-0000-000008020000}"/>
    <cellStyle name="ExtStyle 33 14" xfId="5731" xr:uid="{00000000-0005-0000-0000-000009020000}"/>
    <cellStyle name="ExtStyle 33 14 2" xfId="7151" xr:uid="{00000000-0005-0000-0000-000009020000}"/>
    <cellStyle name="ExtStyle 33 15" xfId="6222" xr:uid="{00000000-0005-0000-0000-00000A020000}"/>
    <cellStyle name="ExtStyle 33 15 2" xfId="7500" xr:uid="{00000000-0005-0000-0000-00000A020000}"/>
    <cellStyle name="ExtStyle 33 2" xfId="336" xr:uid="{00000000-0005-0000-0000-00000B020000}"/>
    <cellStyle name="ExtStyle 33 2 2" xfId="809" xr:uid="{00000000-0005-0000-0000-00000C020000}"/>
    <cellStyle name="ExtStyle 33 3" xfId="570" xr:uid="{00000000-0005-0000-0000-00000D020000}"/>
    <cellStyle name="ExtStyle 33 3 2" xfId="1043" xr:uid="{00000000-0005-0000-0000-00000E020000}"/>
    <cellStyle name="ExtStyle 33 4" xfId="1283" xr:uid="{00000000-0005-0000-0000-00000F020000}"/>
    <cellStyle name="ExtStyle 33 4 2" xfId="3267" xr:uid="{00000000-0005-0000-0000-000010020000}"/>
    <cellStyle name="ExtStyle 33 5" xfId="1578" xr:uid="{00000000-0005-0000-0000-000011020000}"/>
    <cellStyle name="ExtStyle 33 5 2" xfId="3505" xr:uid="{00000000-0005-0000-0000-000012020000}"/>
    <cellStyle name="ExtStyle 33 6" xfId="1829" xr:uid="{00000000-0005-0000-0000-000013020000}"/>
    <cellStyle name="ExtStyle 33 6 2" xfId="3739" xr:uid="{00000000-0005-0000-0000-000014020000}"/>
    <cellStyle name="ExtStyle 33 7" xfId="2073" xr:uid="{00000000-0005-0000-0000-000015020000}"/>
    <cellStyle name="ExtStyle 33 7 2" xfId="3974" xr:uid="{00000000-0005-0000-0000-000016020000}"/>
    <cellStyle name="ExtStyle 33 8" xfId="2308" xr:uid="{00000000-0005-0000-0000-000017020000}"/>
    <cellStyle name="ExtStyle 33 8 2" xfId="4209" xr:uid="{00000000-0005-0000-0000-000018020000}"/>
    <cellStyle name="ExtStyle 33 9" xfId="2555" xr:uid="{00000000-0005-0000-0000-000019020000}"/>
    <cellStyle name="ExtStyle 33 9 2" xfId="4444" xr:uid="{00000000-0005-0000-0000-00001A020000}"/>
    <cellStyle name="ExtStyle 34" xfId="103" xr:uid="{00000000-0005-0000-0000-00001B020000}"/>
    <cellStyle name="ExtStyle 34 10" xfId="2790" xr:uid="{00000000-0005-0000-0000-00001C020000}"/>
    <cellStyle name="ExtStyle 34 10 2" xfId="4679" xr:uid="{00000000-0005-0000-0000-00001D020000}"/>
    <cellStyle name="ExtStyle 34 11" xfId="3027" xr:uid="{00000000-0005-0000-0000-00001E020000}"/>
    <cellStyle name="ExtStyle 34 11 2" xfId="4913" xr:uid="{00000000-0005-0000-0000-00001F020000}"/>
    <cellStyle name="ExtStyle 34 12" xfId="5149" xr:uid="{00000000-0005-0000-0000-000020020000}"/>
    <cellStyle name="ExtStyle 34 12 2" xfId="6609" xr:uid="{00000000-0005-0000-0000-000020020000}"/>
    <cellStyle name="ExtStyle 34 13" xfId="5416" xr:uid="{00000000-0005-0000-0000-000021020000}"/>
    <cellStyle name="ExtStyle 34 14" xfId="5614" xr:uid="{00000000-0005-0000-0000-000022020000}"/>
    <cellStyle name="ExtStyle 34 14 2" xfId="7034" xr:uid="{00000000-0005-0000-0000-000022020000}"/>
    <cellStyle name="ExtStyle 34 15" xfId="5732" xr:uid="{00000000-0005-0000-0000-000023020000}"/>
    <cellStyle name="ExtStyle 34 15 2" xfId="7152" xr:uid="{00000000-0005-0000-0000-000023020000}"/>
    <cellStyle name="ExtStyle 34 16" xfId="5993" xr:uid="{00000000-0005-0000-0000-000024020000}"/>
    <cellStyle name="ExtStyle 34 16 2" xfId="7413" xr:uid="{00000000-0005-0000-0000-000024020000}"/>
    <cellStyle name="ExtStyle 34 17" xfId="6223" xr:uid="{00000000-0005-0000-0000-000025020000}"/>
    <cellStyle name="ExtStyle 34 17 2" xfId="7501" xr:uid="{00000000-0005-0000-0000-000025020000}"/>
    <cellStyle name="ExtStyle 34 2" xfId="337" xr:uid="{00000000-0005-0000-0000-000026020000}"/>
    <cellStyle name="ExtStyle 34 2 2" xfId="810" xr:uid="{00000000-0005-0000-0000-000027020000}"/>
    <cellStyle name="ExtStyle 34 2 2 2" xfId="7794" xr:uid="{0C1CBFB7-7883-4788-82FA-872535D62E40}"/>
    <cellStyle name="ExtStyle 34 2 3" xfId="7793" xr:uid="{75966F07-589D-43B2-A324-518E1EB67F81}"/>
    <cellStyle name="ExtStyle 34 3" xfId="571" xr:uid="{00000000-0005-0000-0000-000028020000}"/>
    <cellStyle name="ExtStyle 34 3 2" xfId="1044" xr:uid="{00000000-0005-0000-0000-000029020000}"/>
    <cellStyle name="ExtStyle 34 3 3" xfId="7795" xr:uid="{6D1FE855-8889-41EE-A218-8A768DC119F8}"/>
    <cellStyle name="ExtStyle 34 4" xfId="1284" xr:uid="{00000000-0005-0000-0000-00002A020000}"/>
    <cellStyle name="ExtStyle 34 4 2" xfId="3268" xr:uid="{00000000-0005-0000-0000-00002B020000}"/>
    <cellStyle name="ExtStyle 34 5" xfId="1579" xr:uid="{00000000-0005-0000-0000-00002C020000}"/>
    <cellStyle name="ExtStyle 34 5 2" xfId="3506" xr:uid="{00000000-0005-0000-0000-00002D020000}"/>
    <cellStyle name="ExtStyle 34 6" xfId="1830" xr:uid="{00000000-0005-0000-0000-00002E020000}"/>
    <cellStyle name="ExtStyle 34 6 2" xfId="3740" xr:uid="{00000000-0005-0000-0000-00002F020000}"/>
    <cellStyle name="ExtStyle 34 7" xfId="2074" xr:uid="{00000000-0005-0000-0000-000030020000}"/>
    <cellStyle name="ExtStyle 34 7 2" xfId="3975" xr:uid="{00000000-0005-0000-0000-000031020000}"/>
    <cellStyle name="ExtStyle 34 8" xfId="2309" xr:uid="{00000000-0005-0000-0000-000032020000}"/>
    <cellStyle name="ExtStyle 34 8 2" xfId="4210" xr:uid="{00000000-0005-0000-0000-000033020000}"/>
    <cellStyle name="ExtStyle 34 9" xfId="2556" xr:uid="{00000000-0005-0000-0000-000034020000}"/>
    <cellStyle name="ExtStyle 34 9 2" xfId="4445" xr:uid="{00000000-0005-0000-0000-000035020000}"/>
    <cellStyle name="ExtStyle 35" xfId="104" xr:uid="{00000000-0005-0000-0000-000036020000}"/>
    <cellStyle name="ExtStyle 35 10" xfId="2791" xr:uid="{00000000-0005-0000-0000-000037020000}"/>
    <cellStyle name="ExtStyle 35 10 2" xfId="4680" xr:uid="{00000000-0005-0000-0000-000038020000}"/>
    <cellStyle name="ExtStyle 35 11" xfId="3028" xr:uid="{00000000-0005-0000-0000-000039020000}"/>
    <cellStyle name="ExtStyle 35 11 2" xfId="4914" xr:uid="{00000000-0005-0000-0000-00003A020000}"/>
    <cellStyle name="ExtStyle 35 12" xfId="5150" xr:uid="{00000000-0005-0000-0000-00003B020000}"/>
    <cellStyle name="ExtStyle 35 12 2" xfId="6610" xr:uid="{00000000-0005-0000-0000-00003B020000}"/>
    <cellStyle name="ExtStyle 35 13" xfId="5417" xr:uid="{00000000-0005-0000-0000-00003C020000}"/>
    <cellStyle name="ExtStyle 35 14" xfId="5615" xr:uid="{00000000-0005-0000-0000-00003D020000}"/>
    <cellStyle name="ExtStyle 35 14 2" xfId="7035" xr:uid="{00000000-0005-0000-0000-00003D020000}"/>
    <cellStyle name="ExtStyle 35 15" xfId="5733" xr:uid="{00000000-0005-0000-0000-00003E020000}"/>
    <cellStyle name="ExtStyle 35 15 2" xfId="7153" xr:uid="{00000000-0005-0000-0000-00003E020000}"/>
    <cellStyle name="ExtStyle 35 16" xfId="5994" xr:uid="{00000000-0005-0000-0000-00003F020000}"/>
    <cellStyle name="ExtStyle 35 16 2" xfId="7414" xr:uid="{00000000-0005-0000-0000-00003F020000}"/>
    <cellStyle name="ExtStyle 35 17" xfId="6224" xr:uid="{00000000-0005-0000-0000-000040020000}"/>
    <cellStyle name="ExtStyle 35 17 2" xfId="7502" xr:uid="{00000000-0005-0000-0000-000040020000}"/>
    <cellStyle name="ExtStyle 35 2" xfId="338" xr:uid="{00000000-0005-0000-0000-000041020000}"/>
    <cellStyle name="ExtStyle 35 2 2" xfId="811" xr:uid="{00000000-0005-0000-0000-000042020000}"/>
    <cellStyle name="ExtStyle 35 2 2 2" xfId="7797" xr:uid="{E525C9BA-DD08-42C3-AC98-BBCC69FA0ED6}"/>
    <cellStyle name="ExtStyle 35 2 3" xfId="7796" xr:uid="{1056935C-9B74-4767-B442-B6544A2A2550}"/>
    <cellStyle name="ExtStyle 35 3" xfId="572" xr:uid="{00000000-0005-0000-0000-000043020000}"/>
    <cellStyle name="ExtStyle 35 3 2" xfId="1045" xr:uid="{00000000-0005-0000-0000-000044020000}"/>
    <cellStyle name="ExtStyle 35 3 3" xfId="7798" xr:uid="{6CC0E290-C1A4-4D76-BF30-5E6899CD337C}"/>
    <cellStyle name="ExtStyle 35 4" xfId="1285" xr:uid="{00000000-0005-0000-0000-000045020000}"/>
    <cellStyle name="ExtStyle 35 4 2" xfId="3269" xr:uid="{00000000-0005-0000-0000-000046020000}"/>
    <cellStyle name="ExtStyle 35 5" xfId="1580" xr:uid="{00000000-0005-0000-0000-000047020000}"/>
    <cellStyle name="ExtStyle 35 5 2" xfId="3507" xr:uid="{00000000-0005-0000-0000-000048020000}"/>
    <cellStyle name="ExtStyle 35 6" xfId="1831" xr:uid="{00000000-0005-0000-0000-000049020000}"/>
    <cellStyle name="ExtStyle 35 6 2" xfId="3741" xr:uid="{00000000-0005-0000-0000-00004A020000}"/>
    <cellStyle name="ExtStyle 35 7" xfId="2075" xr:uid="{00000000-0005-0000-0000-00004B020000}"/>
    <cellStyle name="ExtStyle 35 7 2" xfId="3976" xr:uid="{00000000-0005-0000-0000-00004C020000}"/>
    <cellStyle name="ExtStyle 35 8" xfId="2310" xr:uid="{00000000-0005-0000-0000-00004D020000}"/>
    <cellStyle name="ExtStyle 35 8 2" xfId="4211" xr:uid="{00000000-0005-0000-0000-00004E020000}"/>
    <cellStyle name="ExtStyle 35 9" xfId="2557" xr:uid="{00000000-0005-0000-0000-00004F020000}"/>
    <cellStyle name="ExtStyle 35 9 2" xfId="4446" xr:uid="{00000000-0005-0000-0000-000050020000}"/>
    <cellStyle name="ExtStyle 36" xfId="105" xr:uid="{00000000-0005-0000-0000-000051020000}"/>
    <cellStyle name="ExtStyle 36 10" xfId="2792" xr:uid="{00000000-0005-0000-0000-000052020000}"/>
    <cellStyle name="ExtStyle 36 10 2" xfId="4681" xr:uid="{00000000-0005-0000-0000-000053020000}"/>
    <cellStyle name="ExtStyle 36 11" xfId="3029" xr:uid="{00000000-0005-0000-0000-000054020000}"/>
    <cellStyle name="ExtStyle 36 11 2" xfId="4915" xr:uid="{00000000-0005-0000-0000-000055020000}"/>
    <cellStyle name="ExtStyle 36 12" xfId="5151" xr:uid="{00000000-0005-0000-0000-000056020000}"/>
    <cellStyle name="ExtStyle 36 12 2" xfId="6611" xr:uid="{00000000-0005-0000-0000-000056020000}"/>
    <cellStyle name="ExtStyle 36 13" xfId="5418" xr:uid="{00000000-0005-0000-0000-000057020000}"/>
    <cellStyle name="ExtStyle 36 13 2" xfId="6853" xr:uid="{00000000-0005-0000-0000-000057020000}"/>
    <cellStyle name="ExtStyle 36 14" xfId="5734" xr:uid="{00000000-0005-0000-0000-000058020000}"/>
    <cellStyle name="ExtStyle 36 14 2" xfId="7154" xr:uid="{00000000-0005-0000-0000-000058020000}"/>
    <cellStyle name="ExtStyle 36 15" xfId="6225" xr:uid="{00000000-0005-0000-0000-000059020000}"/>
    <cellStyle name="ExtStyle 36 15 2" xfId="7503" xr:uid="{00000000-0005-0000-0000-000059020000}"/>
    <cellStyle name="ExtStyle 36 2" xfId="339" xr:uid="{00000000-0005-0000-0000-00005A020000}"/>
    <cellStyle name="ExtStyle 36 2 2" xfId="812" xr:uid="{00000000-0005-0000-0000-00005B020000}"/>
    <cellStyle name="ExtStyle 36 3" xfId="573" xr:uid="{00000000-0005-0000-0000-00005C020000}"/>
    <cellStyle name="ExtStyle 36 3 2" xfId="1046" xr:uid="{00000000-0005-0000-0000-00005D020000}"/>
    <cellStyle name="ExtStyle 36 4" xfId="1286" xr:uid="{00000000-0005-0000-0000-00005E020000}"/>
    <cellStyle name="ExtStyle 36 4 2" xfId="3270" xr:uid="{00000000-0005-0000-0000-00005F020000}"/>
    <cellStyle name="ExtStyle 36 5" xfId="1581" xr:uid="{00000000-0005-0000-0000-000060020000}"/>
    <cellStyle name="ExtStyle 36 5 2" xfId="3508" xr:uid="{00000000-0005-0000-0000-000061020000}"/>
    <cellStyle name="ExtStyle 36 6" xfId="1832" xr:uid="{00000000-0005-0000-0000-000062020000}"/>
    <cellStyle name="ExtStyle 36 6 2" xfId="3742" xr:uid="{00000000-0005-0000-0000-000063020000}"/>
    <cellStyle name="ExtStyle 36 7" xfId="2076" xr:uid="{00000000-0005-0000-0000-000064020000}"/>
    <cellStyle name="ExtStyle 36 7 2" xfId="3977" xr:uid="{00000000-0005-0000-0000-000065020000}"/>
    <cellStyle name="ExtStyle 36 8" xfId="2311" xr:uid="{00000000-0005-0000-0000-000066020000}"/>
    <cellStyle name="ExtStyle 36 8 2" xfId="4212" xr:uid="{00000000-0005-0000-0000-000067020000}"/>
    <cellStyle name="ExtStyle 36 9" xfId="2558" xr:uid="{00000000-0005-0000-0000-000068020000}"/>
    <cellStyle name="ExtStyle 36 9 2" xfId="4447" xr:uid="{00000000-0005-0000-0000-000069020000}"/>
    <cellStyle name="ExtStyle 37" xfId="106" xr:uid="{00000000-0005-0000-0000-00006A020000}"/>
    <cellStyle name="ExtStyle 37 10" xfId="2793" xr:uid="{00000000-0005-0000-0000-00006B020000}"/>
    <cellStyle name="ExtStyle 37 10 2" xfId="4682" xr:uid="{00000000-0005-0000-0000-00006C020000}"/>
    <cellStyle name="ExtStyle 37 11" xfId="3030" xr:uid="{00000000-0005-0000-0000-00006D020000}"/>
    <cellStyle name="ExtStyle 37 11 2" xfId="4916" xr:uid="{00000000-0005-0000-0000-00006E020000}"/>
    <cellStyle name="ExtStyle 37 12" xfId="5152" xr:uid="{00000000-0005-0000-0000-00006F020000}"/>
    <cellStyle name="ExtStyle 37 12 2" xfId="6612" xr:uid="{00000000-0005-0000-0000-00006F020000}"/>
    <cellStyle name="ExtStyle 37 13" xfId="5419" xr:uid="{00000000-0005-0000-0000-000070020000}"/>
    <cellStyle name="ExtStyle 37 14" xfId="5616" xr:uid="{00000000-0005-0000-0000-000071020000}"/>
    <cellStyle name="ExtStyle 37 14 2" xfId="7036" xr:uid="{00000000-0005-0000-0000-000071020000}"/>
    <cellStyle name="ExtStyle 37 15" xfId="5735" xr:uid="{00000000-0005-0000-0000-000072020000}"/>
    <cellStyle name="ExtStyle 37 15 2" xfId="7155" xr:uid="{00000000-0005-0000-0000-000072020000}"/>
    <cellStyle name="ExtStyle 37 16" xfId="5995" xr:uid="{00000000-0005-0000-0000-000073020000}"/>
    <cellStyle name="ExtStyle 37 16 2" xfId="7415" xr:uid="{00000000-0005-0000-0000-000073020000}"/>
    <cellStyle name="ExtStyle 37 17" xfId="6226" xr:uid="{00000000-0005-0000-0000-000074020000}"/>
    <cellStyle name="ExtStyle 37 17 2" xfId="7504" xr:uid="{00000000-0005-0000-0000-000074020000}"/>
    <cellStyle name="ExtStyle 37 2" xfId="340" xr:uid="{00000000-0005-0000-0000-000075020000}"/>
    <cellStyle name="ExtStyle 37 2 2" xfId="813" xr:uid="{00000000-0005-0000-0000-000076020000}"/>
    <cellStyle name="ExtStyle 37 2 2 2" xfId="7800" xr:uid="{979EE8CB-FB5D-435A-85C9-EBE34F4DF438}"/>
    <cellStyle name="ExtStyle 37 2 3" xfId="7799" xr:uid="{BD16F8AE-38D8-4F55-A853-E059DB64EA53}"/>
    <cellStyle name="ExtStyle 37 3" xfId="574" xr:uid="{00000000-0005-0000-0000-000077020000}"/>
    <cellStyle name="ExtStyle 37 3 2" xfId="1047" xr:uid="{00000000-0005-0000-0000-000078020000}"/>
    <cellStyle name="ExtStyle 37 3 3" xfId="7801" xr:uid="{C9ED5267-DBB0-4CDB-8925-BF63FFCB25F5}"/>
    <cellStyle name="ExtStyle 37 4" xfId="1287" xr:uid="{00000000-0005-0000-0000-000079020000}"/>
    <cellStyle name="ExtStyle 37 4 2" xfId="3271" xr:uid="{00000000-0005-0000-0000-00007A020000}"/>
    <cellStyle name="ExtStyle 37 5" xfId="1582" xr:uid="{00000000-0005-0000-0000-00007B020000}"/>
    <cellStyle name="ExtStyle 37 5 2" xfId="3509" xr:uid="{00000000-0005-0000-0000-00007C020000}"/>
    <cellStyle name="ExtStyle 37 6" xfId="1833" xr:uid="{00000000-0005-0000-0000-00007D020000}"/>
    <cellStyle name="ExtStyle 37 6 2" xfId="3743" xr:uid="{00000000-0005-0000-0000-00007E020000}"/>
    <cellStyle name="ExtStyle 37 7" xfId="2077" xr:uid="{00000000-0005-0000-0000-00007F020000}"/>
    <cellStyle name="ExtStyle 37 7 2" xfId="3978" xr:uid="{00000000-0005-0000-0000-000080020000}"/>
    <cellStyle name="ExtStyle 37 8" xfId="2312" xr:uid="{00000000-0005-0000-0000-000081020000}"/>
    <cellStyle name="ExtStyle 37 8 2" xfId="4213" xr:uid="{00000000-0005-0000-0000-000082020000}"/>
    <cellStyle name="ExtStyle 37 9" xfId="2559" xr:uid="{00000000-0005-0000-0000-000083020000}"/>
    <cellStyle name="ExtStyle 37 9 2" xfId="4448" xr:uid="{00000000-0005-0000-0000-000084020000}"/>
    <cellStyle name="ExtStyle 38" xfId="107" xr:uid="{00000000-0005-0000-0000-000085020000}"/>
    <cellStyle name="ExtStyle 38 10" xfId="2794" xr:uid="{00000000-0005-0000-0000-000086020000}"/>
    <cellStyle name="ExtStyle 38 10 2" xfId="4683" xr:uid="{00000000-0005-0000-0000-000087020000}"/>
    <cellStyle name="ExtStyle 38 11" xfId="3031" xr:uid="{00000000-0005-0000-0000-000088020000}"/>
    <cellStyle name="ExtStyle 38 11 2" xfId="4917" xr:uid="{00000000-0005-0000-0000-000089020000}"/>
    <cellStyle name="ExtStyle 38 12" xfId="5153" xr:uid="{00000000-0005-0000-0000-00008A020000}"/>
    <cellStyle name="ExtStyle 38 12 2" xfId="6613" xr:uid="{00000000-0005-0000-0000-00008A020000}"/>
    <cellStyle name="ExtStyle 38 13" xfId="5420" xr:uid="{00000000-0005-0000-0000-00008B020000}"/>
    <cellStyle name="ExtStyle 38 14" xfId="5617" xr:uid="{00000000-0005-0000-0000-00008C020000}"/>
    <cellStyle name="ExtStyle 38 14 2" xfId="7037" xr:uid="{00000000-0005-0000-0000-00008C020000}"/>
    <cellStyle name="ExtStyle 38 15" xfId="5736" xr:uid="{00000000-0005-0000-0000-00008D020000}"/>
    <cellStyle name="ExtStyle 38 15 2" xfId="7156" xr:uid="{00000000-0005-0000-0000-00008D020000}"/>
    <cellStyle name="ExtStyle 38 16" xfId="5996" xr:uid="{00000000-0005-0000-0000-00008E020000}"/>
    <cellStyle name="ExtStyle 38 16 2" xfId="7416" xr:uid="{00000000-0005-0000-0000-00008E020000}"/>
    <cellStyle name="ExtStyle 38 17" xfId="6227" xr:uid="{00000000-0005-0000-0000-00008F020000}"/>
    <cellStyle name="ExtStyle 38 17 2" xfId="7505" xr:uid="{00000000-0005-0000-0000-00008F020000}"/>
    <cellStyle name="ExtStyle 38 2" xfId="341" xr:uid="{00000000-0005-0000-0000-000090020000}"/>
    <cellStyle name="ExtStyle 38 2 2" xfId="814" xr:uid="{00000000-0005-0000-0000-000091020000}"/>
    <cellStyle name="ExtStyle 38 2 2 2" xfId="7803" xr:uid="{E362F0F7-F0E9-4072-9B35-3AD4404078DA}"/>
    <cellStyle name="ExtStyle 38 2 3" xfId="7802" xr:uid="{7430F552-3303-410E-B85B-14F3122515A9}"/>
    <cellStyle name="ExtStyle 38 3" xfId="575" xr:uid="{00000000-0005-0000-0000-000092020000}"/>
    <cellStyle name="ExtStyle 38 3 2" xfId="1048" xr:uid="{00000000-0005-0000-0000-000093020000}"/>
    <cellStyle name="ExtStyle 38 3 3" xfId="7804" xr:uid="{21B368CC-F13F-4EF3-A105-E810851F7EEA}"/>
    <cellStyle name="ExtStyle 38 4" xfId="1288" xr:uid="{00000000-0005-0000-0000-000094020000}"/>
    <cellStyle name="ExtStyle 38 4 2" xfId="3272" xr:uid="{00000000-0005-0000-0000-000095020000}"/>
    <cellStyle name="ExtStyle 38 5" xfId="1583" xr:uid="{00000000-0005-0000-0000-000096020000}"/>
    <cellStyle name="ExtStyle 38 5 2" xfId="3510" xr:uid="{00000000-0005-0000-0000-000097020000}"/>
    <cellStyle name="ExtStyle 38 6" xfId="1834" xr:uid="{00000000-0005-0000-0000-000098020000}"/>
    <cellStyle name="ExtStyle 38 6 2" xfId="3744" xr:uid="{00000000-0005-0000-0000-000099020000}"/>
    <cellStyle name="ExtStyle 38 7" xfId="2078" xr:uid="{00000000-0005-0000-0000-00009A020000}"/>
    <cellStyle name="ExtStyle 38 7 2" xfId="3979" xr:uid="{00000000-0005-0000-0000-00009B020000}"/>
    <cellStyle name="ExtStyle 38 8" xfId="2313" xr:uid="{00000000-0005-0000-0000-00009C020000}"/>
    <cellStyle name="ExtStyle 38 8 2" xfId="4214" xr:uid="{00000000-0005-0000-0000-00009D020000}"/>
    <cellStyle name="ExtStyle 38 9" xfId="2560" xr:uid="{00000000-0005-0000-0000-00009E020000}"/>
    <cellStyle name="ExtStyle 38 9 2" xfId="4449" xr:uid="{00000000-0005-0000-0000-00009F020000}"/>
    <cellStyle name="ExtStyle 39" xfId="108" xr:uid="{00000000-0005-0000-0000-0000A0020000}"/>
    <cellStyle name="ExtStyle 39 10" xfId="2795" xr:uid="{00000000-0005-0000-0000-0000A1020000}"/>
    <cellStyle name="ExtStyle 39 10 2" xfId="4684" xr:uid="{00000000-0005-0000-0000-0000A2020000}"/>
    <cellStyle name="ExtStyle 39 11" xfId="3032" xr:uid="{00000000-0005-0000-0000-0000A3020000}"/>
    <cellStyle name="ExtStyle 39 11 2" xfId="4918" xr:uid="{00000000-0005-0000-0000-0000A4020000}"/>
    <cellStyle name="ExtStyle 39 12" xfId="5154" xr:uid="{00000000-0005-0000-0000-0000A5020000}"/>
    <cellStyle name="ExtStyle 39 12 2" xfId="6614" xr:uid="{00000000-0005-0000-0000-0000A5020000}"/>
    <cellStyle name="ExtStyle 39 13" xfId="5421" xr:uid="{00000000-0005-0000-0000-0000A6020000}"/>
    <cellStyle name="ExtStyle 39 13 2" xfId="6854" xr:uid="{00000000-0005-0000-0000-0000A6020000}"/>
    <cellStyle name="ExtStyle 39 14" xfId="5618" xr:uid="{00000000-0005-0000-0000-0000A7020000}"/>
    <cellStyle name="ExtStyle 39 14 2" xfId="7038" xr:uid="{00000000-0005-0000-0000-0000A7020000}"/>
    <cellStyle name="ExtStyle 39 15" xfId="5737" xr:uid="{00000000-0005-0000-0000-0000A8020000}"/>
    <cellStyle name="ExtStyle 39 15 2" xfId="7157" xr:uid="{00000000-0005-0000-0000-0000A8020000}"/>
    <cellStyle name="ExtStyle 39 16" xfId="5997" xr:uid="{00000000-0005-0000-0000-0000A9020000}"/>
    <cellStyle name="ExtStyle 39 16 2" xfId="7417" xr:uid="{00000000-0005-0000-0000-0000A9020000}"/>
    <cellStyle name="ExtStyle 39 17" xfId="6228" xr:uid="{00000000-0005-0000-0000-0000AA020000}"/>
    <cellStyle name="ExtStyle 39 17 2" xfId="7506" xr:uid="{00000000-0005-0000-0000-0000AA020000}"/>
    <cellStyle name="ExtStyle 39 2" xfId="342" xr:uid="{00000000-0005-0000-0000-0000AB020000}"/>
    <cellStyle name="ExtStyle 39 2 2" xfId="815" xr:uid="{00000000-0005-0000-0000-0000AC020000}"/>
    <cellStyle name="ExtStyle 39 2 2 2" xfId="7806" xr:uid="{850A989A-E47F-427B-AA91-5D7896C4BBB0}"/>
    <cellStyle name="ExtStyle 39 2 3" xfId="7805" xr:uid="{1DC12A42-413E-4302-A3CD-1CA327AC1BFA}"/>
    <cellStyle name="ExtStyle 39 3" xfId="576" xr:uid="{00000000-0005-0000-0000-0000AD020000}"/>
    <cellStyle name="ExtStyle 39 3 2" xfId="1049" xr:uid="{00000000-0005-0000-0000-0000AE020000}"/>
    <cellStyle name="ExtStyle 39 3 3" xfId="7807" xr:uid="{F8FE6E96-432C-4C1C-B49A-E8499B53BD52}"/>
    <cellStyle name="ExtStyle 39 4" xfId="1289" xr:uid="{00000000-0005-0000-0000-0000AF020000}"/>
    <cellStyle name="ExtStyle 39 4 2" xfId="3273" xr:uid="{00000000-0005-0000-0000-0000B0020000}"/>
    <cellStyle name="ExtStyle 39 5" xfId="1584" xr:uid="{00000000-0005-0000-0000-0000B1020000}"/>
    <cellStyle name="ExtStyle 39 5 2" xfId="3511" xr:uid="{00000000-0005-0000-0000-0000B2020000}"/>
    <cellStyle name="ExtStyle 39 6" xfId="1835" xr:uid="{00000000-0005-0000-0000-0000B3020000}"/>
    <cellStyle name="ExtStyle 39 6 2" xfId="3745" xr:uid="{00000000-0005-0000-0000-0000B4020000}"/>
    <cellStyle name="ExtStyle 39 7" xfId="2079" xr:uid="{00000000-0005-0000-0000-0000B5020000}"/>
    <cellStyle name="ExtStyle 39 7 2" xfId="3980" xr:uid="{00000000-0005-0000-0000-0000B6020000}"/>
    <cellStyle name="ExtStyle 39 8" xfId="2314" xr:uid="{00000000-0005-0000-0000-0000B7020000}"/>
    <cellStyle name="ExtStyle 39 8 2" xfId="4215" xr:uid="{00000000-0005-0000-0000-0000B8020000}"/>
    <cellStyle name="ExtStyle 39 9" xfId="2561" xr:uid="{00000000-0005-0000-0000-0000B9020000}"/>
    <cellStyle name="ExtStyle 39 9 2" xfId="4450" xr:uid="{00000000-0005-0000-0000-0000BA020000}"/>
    <cellStyle name="ExtStyle 41" xfId="109" xr:uid="{00000000-0005-0000-0000-0000BB020000}"/>
    <cellStyle name="ExtStyle 41 10" xfId="2796" xr:uid="{00000000-0005-0000-0000-0000BC020000}"/>
    <cellStyle name="ExtStyle 41 10 2" xfId="4685" xr:uid="{00000000-0005-0000-0000-0000BD020000}"/>
    <cellStyle name="ExtStyle 41 11" xfId="3033" xr:uid="{00000000-0005-0000-0000-0000BE020000}"/>
    <cellStyle name="ExtStyle 41 11 2" xfId="4919" xr:uid="{00000000-0005-0000-0000-0000BF020000}"/>
    <cellStyle name="ExtStyle 41 12" xfId="5155" xr:uid="{00000000-0005-0000-0000-0000C0020000}"/>
    <cellStyle name="ExtStyle 41 12 2" xfId="6615" xr:uid="{00000000-0005-0000-0000-0000C0020000}"/>
    <cellStyle name="ExtStyle 41 13" xfId="5619" xr:uid="{00000000-0005-0000-0000-0000C1020000}"/>
    <cellStyle name="ExtStyle 41 13 2" xfId="7039" xr:uid="{00000000-0005-0000-0000-0000C1020000}"/>
    <cellStyle name="ExtStyle 41 14" xfId="5738" xr:uid="{00000000-0005-0000-0000-0000C2020000}"/>
    <cellStyle name="ExtStyle 41 14 2" xfId="7158" xr:uid="{00000000-0005-0000-0000-0000C2020000}"/>
    <cellStyle name="ExtStyle 41 15" xfId="6229" xr:uid="{00000000-0005-0000-0000-0000C3020000}"/>
    <cellStyle name="ExtStyle 41 15 2" xfId="7507" xr:uid="{00000000-0005-0000-0000-0000C3020000}"/>
    <cellStyle name="ExtStyle 41 2" xfId="343" xr:uid="{00000000-0005-0000-0000-0000C4020000}"/>
    <cellStyle name="ExtStyle 41 2 2" xfId="816" xr:uid="{00000000-0005-0000-0000-0000C5020000}"/>
    <cellStyle name="ExtStyle 41 3" xfId="577" xr:uid="{00000000-0005-0000-0000-0000C6020000}"/>
    <cellStyle name="ExtStyle 41 3 2" xfId="1050" xr:uid="{00000000-0005-0000-0000-0000C7020000}"/>
    <cellStyle name="ExtStyle 41 4" xfId="1290" xr:uid="{00000000-0005-0000-0000-0000C8020000}"/>
    <cellStyle name="ExtStyle 41 4 2" xfId="3274" xr:uid="{00000000-0005-0000-0000-0000C9020000}"/>
    <cellStyle name="ExtStyle 41 5" xfId="1585" xr:uid="{00000000-0005-0000-0000-0000CA020000}"/>
    <cellStyle name="ExtStyle 41 5 2" xfId="3512" xr:uid="{00000000-0005-0000-0000-0000CB020000}"/>
    <cellStyle name="ExtStyle 41 6" xfId="1836" xr:uid="{00000000-0005-0000-0000-0000CC020000}"/>
    <cellStyle name="ExtStyle 41 6 2" xfId="3746" xr:uid="{00000000-0005-0000-0000-0000CD020000}"/>
    <cellStyle name="ExtStyle 41 7" xfId="2080" xr:uid="{00000000-0005-0000-0000-0000CE020000}"/>
    <cellStyle name="ExtStyle 41 7 2" xfId="3981" xr:uid="{00000000-0005-0000-0000-0000CF020000}"/>
    <cellStyle name="ExtStyle 41 8" xfId="2315" xr:uid="{00000000-0005-0000-0000-0000D0020000}"/>
    <cellStyle name="ExtStyle 41 8 2" xfId="4216" xr:uid="{00000000-0005-0000-0000-0000D1020000}"/>
    <cellStyle name="ExtStyle 41 9" xfId="2562" xr:uid="{00000000-0005-0000-0000-0000D2020000}"/>
    <cellStyle name="ExtStyle 41 9 2" xfId="4451" xr:uid="{00000000-0005-0000-0000-0000D3020000}"/>
    <cellStyle name="ExtStyle 42" xfId="110" xr:uid="{00000000-0005-0000-0000-0000D4020000}"/>
    <cellStyle name="ExtStyle 42 10" xfId="2797" xr:uid="{00000000-0005-0000-0000-0000D5020000}"/>
    <cellStyle name="ExtStyle 42 10 2" xfId="4686" xr:uid="{00000000-0005-0000-0000-0000D6020000}"/>
    <cellStyle name="ExtStyle 42 11" xfId="3034" xr:uid="{00000000-0005-0000-0000-0000D7020000}"/>
    <cellStyle name="ExtStyle 42 11 2" xfId="4920" xr:uid="{00000000-0005-0000-0000-0000D8020000}"/>
    <cellStyle name="ExtStyle 42 12" xfId="5156" xr:uid="{00000000-0005-0000-0000-0000D9020000}"/>
    <cellStyle name="ExtStyle 42 12 2" xfId="6616" xr:uid="{00000000-0005-0000-0000-0000D9020000}"/>
    <cellStyle name="ExtStyle 42 13" xfId="5620" xr:uid="{00000000-0005-0000-0000-0000DA020000}"/>
    <cellStyle name="ExtStyle 42 13 2" xfId="7040" xr:uid="{00000000-0005-0000-0000-0000DA020000}"/>
    <cellStyle name="ExtStyle 42 14" xfId="5739" xr:uid="{00000000-0005-0000-0000-0000DB020000}"/>
    <cellStyle name="ExtStyle 42 14 2" xfId="7159" xr:uid="{00000000-0005-0000-0000-0000DB020000}"/>
    <cellStyle name="ExtStyle 42 15" xfId="6230" xr:uid="{00000000-0005-0000-0000-0000DC020000}"/>
    <cellStyle name="ExtStyle 42 15 2" xfId="7508" xr:uid="{00000000-0005-0000-0000-0000DC020000}"/>
    <cellStyle name="ExtStyle 42 2" xfId="344" xr:uid="{00000000-0005-0000-0000-0000DD020000}"/>
    <cellStyle name="ExtStyle 42 2 2" xfId="817" xr:uid="{00000000-0005-0000-0000-0000DE020000}"/>
    <cellStyle name="ExtStyle 42 2 3" xfId="7808" xr:uid="{3EC82B08-4ED1-4306-BFC7-9CE365FE6A1A}"/>
    <cellStyle name="ExtStyle 42 3" xfId="578" xr:uid="{00000000-0005-0000-0000-0000DF020000}"/>
    <cellStyle name="ExtStyle 42 3 2" xfId="1051" xr:uid="{00000000-0005-0000-0000-0000E0020000}"/>
    <cellStyle name="ExtStyle 42 3 3" xfId="7809" xr:uid="{2BB700E3-18DB-4E28-AFC1-29A3857926D6}"/>
    <cellStyle name="ExtStyle 42 4" xfId="1291" xr:uid="{00000000-0005-0000-0000-0000E1020000}"/>
    <cellStyle name="ExtStyle 42 4 2" xfId="3275" xr:uid="{00000000-0005-0000-0000-0000E2020000}"/>
    <cellStyle name="ExtStyle 42 5" xfId="1586" xr:uid="{00000000-0005-0000-0000-0000E3020000}"/>
    <cellStyle name="ExtStyle 42 5 2" xfId="3513" xr:uid="{00000000-0005-0000-0000-0000E4020000}"/>
    <cellStyle name="ExtStyle 42 6" xfId="1837" xr:uid="{00000000-0005-0000-0000-0000E5020000}"/>
    <cellStyle name="ExtStyle 42 6 2" xfId="3747" xr:uid="{00000000-0005-0000-0000-0000E6020000}"/>
    <cellStyle name="ExtStyle 42 7" xfId="2081" xr:uid="{00000000-0005-0000-0000-0000E7020000}"/>
    <cellStyle name="ExtStyle 42 7 2" xfId="3982" xr:uid="{00000000-0005-0000-0000-0000E8020000}"/>
    <cellStyle name="ExtStyle 42 8" xfId="2316" xr:uid="{00000000-0005-0000-0000-0000E9020000}"/>
    <cellStyle name="ExtStyle 42 8 2" xfId="4217" xr:uid="{00000000-0005-0000-0000-0000EA020000}"/>
    <cellStyle name="ExtStyle 42 9" xfId="2563" xr:uid="{00000000-0005-0000-0000-0000EB020000}"/>
    <cellStyle name="ExtStyle 42 9 2" xfId="4452" xr:uid="{00000000-0005-0000-0000-0000EC020000}"/>
    <cellStyle name="ExtStyle 43" xfId="111" xr:uid="{00000000-0005-0000-0000-0000ED020000}"/>
    <cellStyle name="ExtStyle 43 10" xfId="2564" xr:uid="{00000000-0005-0000-0000-0000EE020000}"/>
    <cellStyle name="ExtStyle 43 10 2" xfId="4453" xr:uid="{00000000-0005-0000-0000-0000EF020000}"/>
    <cellStyle name="ExtStyle 43 11" xfId="2798" xr:uid="{00000000-0005-0000-0000-0000F0020000}"/>
    <cellStyle name="ExtStyle 43 11 2" xfId="4687" xr:uid="{00000000-0005-0000-0000-0000F1020000}"/>
    <cellStyle name="ExtStyle 43 12" xfId="3035" xr:uid="{00000000-0005-0000-0000-0000F2020000}"/>
    <cellStyle name="ExtStyle 43 12 2" xfId="4921" xr:uid="{00000000-0005-0000-0000-0000F3020000}"/>
    <cellStyle name="ExtStyle 43 13" xfId="5157" xr:uid="{00000000-0005-0000-0000-0000F4020000}"/>
    <cellStyle name="ExtStyle 43 13 2" xfId="6617" xr:uid="{00000000-0005-0000-0000-0000F4020000}"/>
    <cellStyle name="ExtStyle 43 14" xfId="5397" xr:uid="{00000000-0005-0000-0000-0000F5020000}"/>
    <cellStyle name="ExtStyle 43 14 2" xfId="6841" xr:uid="{00000000-0005-0000-0000-0000F5020000}"/>
    <cellStyle name="ExtStyle 43 15" xfId="5621" xr:uid="{00000000-0005-0000-0000-0000F6020000}"/>
    <cellStyle name="ExtStyle 43 15 2" xfId="7041" xr:uid="{00000000-0005-0000-0000-0000F6020000}"/>
    <cellStyle name="ExtStyle 43 16" xfId="5740" xr:uid="{00000000-0005-0000-0000-0000F7020000}"/>
    <cellStyle name="ExtStyle 43 16 2" xfId="7160" xr:uid="{00000000-0005-0000-0000-0000F7020000}"/>
    <cellStyle name="ExtStyle 43 17" xfId="5978" xr:uid="{00000000-0005-0000-0000-0000F8020000}"/>
    <cellStyle name="ExtStyle 43 17 2" xfId="7398" xr:uid="{00000000-0005-0000-0000-0000F8020000}"/>
    <cellStyle name="ExtStyle 43 18" xfId="6231" xr:uid="{00000000-0005-0000-0000-0000F9020000}"/>
    <cellStyle name="ExtStyle 43 18 2" xfId="7509" xr:uid="{00000000-0005-0000-0000-0000F9020000}"/>
    <cellStyle name="ExtStyle 43 19" xfId="7810" xr:uid="{7A3482C6-BA7B-43DD-830A-9C33E17D7E78}"/>
    <cellStyle name="ExtStyle 43 2" xfId="112" xr:uid="{00000000-0005-0000-0000-0000FA020000}"/>
    <cellStyle name="ExtStyle 43 2 10" xfId="2799" xr:uid="{00000000-0005-0000-0000-0000FB020000}"/>
    <cellStyle name="ExtStyle 43 2 10 2" xfId="4688" xr:uid="{00000000-0005-0000-0000-0000FC020000}"/>
    <cellStyle name="ExtStyle 43 2 11" xfId="3036" xr:uid="{00000000-0005-0000-0000-0000FD020000}"/>
    <cellStyle name="ExtStyle 43 2 11 2" xfId="4922" xr:uid="{00000000-0005-0000-0000-0000FE020000}"/>
    <cellStyle name="ExtStyle 43 2 12" xfId="5158" xr:uid="{00000000-0005-0000-0000-0000FF020000}"/>
    <cellStyle name="ExtStyle 43 2 12 2" xfId="6618" xr:uid="{00000000-0005-0000-0000-0000FF020000}"/>
    <cellStyle name="ExtStyle 43 2 13" xfId="5622" xr:uid="{00000000-0005-0000-0000-000000030000}"/>
    <cellStyle name="ExtStyle 43 2 13 2" xfId="7042" xr:uid="{00000000-0005-0000-0000-000000030000}"/>
    <cellStyle name="ExtStyle 43 2 14" xfId="5741" xr:uid="{00000000-0005-0000-0000-000001030000}"/>
    <cellStyle name="ExtStyle 43 2 14 2" xfId="7161" xr:uid="{00000000-0005-0000-0000-000001030000}"/>
    <cellStyle name="ExtStyle 43 2 15" xfId="6232" xr:uid="{00000000-0005-0000-0000-000002030000}"/>
    <cellStyle name="ExtStyle 43 2 15 2" xfId="7510" xr:uid="{00000000-0005-0000-0000-000002030000}"/>
    <cellStyle name="ExtStyle 43 2 2" xfId="346" xr:uid="{00000000-0005-0000-0000-000003030000}"/>
    <cellStyle name="ExtStyle 43 2 2 2" xfId="819" xr:uid="{00000000-0005-0000-0000-000004030000}"/>
    <cellStyle name="ExtStyle 43 2 3" xfId="580" xr:uid="{00000000-0005-0000-0000-000005030000}"/>
    <cellStyle name="ExtStyle 43 2 3 2" xfId="1053" xr:uid="{00000000-0005-0000-0000-000006030000}"/>
    <cellStyle name="ExtStyle 43 2 4" xfId="1293" xr:uid="{00000000-0005-0000-0000-000007030000}"/>
    <cellStyle name="ExtStyle 43 2 4 2" xfId="3277" xr:uid="{00000000-0005-0000-0000-000008030000}"/>
    <cellStyle name="ExtStyle 43 2 5" xfId="1588" xr:uid="{00000000-0005-0000-0000-000009030000}"/>
    <cellStyle name="ExtStyle 43 2 5 2" xfId="3515" xr:uid="{00000000-0005-0000-0000-00000A030000}"/>
    <cellStyle name="ExtStyle 43 2 6" xfId="1839" xr:uid="{00000000-0005-0000-0000-00000B030000}"/>
    <cellStyle name="ExtStyle 43 2 6 2" xfId="3749" xr:uid="{00000000-0005-0000-0000-00000C030000}"/>
    <cellStyle name="ExtStyle 43 2 7" xfId="2083" xr:uid="{00000000-0005-0000-0000-00000D030000}"/>
    <cellStyle name="ExtStyle 43 2 7 2" xfId="3984" xr:uid="{00000000-0005-0000-0000-00000E030000}"/>
    <cellStyle name="ExtStyle 43 2 8" xfId="2318" xr:uid="{00000000-0005-0000-0000-00000F030000}"/>
    <cellStyle name="ExtStyle 43 2 8 2" xfId="4219" xr:uid="{00000000-0005-0000-0000-000010030000}"/>
    <cellStyle name="ExtStyle 43 2 9" xfId="2565" xr:uid="{00000000-0005-0000-0000-000011030000}"/>
    <cellStyle name="ExtStyle 43 2 9 2" xfId="4454" xr:uid="{00000000-0005-0000-0000-000012030000}"/>
    <cellStyle name="ExtStyle 43 3" xfId="345" xr:uid="{00000000-0005-0000-0000-000013030000}"/>
    <cellStyle name="ExtStyle 43 3 2" xfId="818" xr:uid="{00000000-0005-0000-0000-000014030000}"/>
    <cellStyle name="ExtStyle 43 4" xfId="579" xr:uid="{00000000-0005-0000-0000-000015030000}"/>
    <cellStyle name="ExtStyle 43 4 2" xfId="1052" xr:uid="{00000000-0005-0000-0000-000016030000}"/>
    <cellStyle name="ExtStyle 43 5" xfId="1292" xr:uid="{00000000-0005-0000-0000-000017030000}"/>
    <cellStyle name="ExtStyle 43 5 2" xfId="3276" xr:uid="{00000000-0005-0000-0000-000018030000}"/>
    <cellStyle name="ExtStyle 43 6" xfId="1587" xr:uid="{00000000-0005-0000-0000-000019030000}"/>
    <cellStyle name="ExtStyle 43 6 2" xfId="3514" xr:uid="{00000000-0005-0000-0000-00001A030000}"/>
    <cellStyle name="ExtStyle 43 7" xfId="1838" xr:uid="{00000000-0005-0000-0000-00001B030000}"/>
    <cellStyle name="ExtStyle 43 7 2" xfId="3748" xr:uid="{00000000-0005-0000-0000-00001C030000}"/>
    <cellStyle name="ExtStyle 43 8" xfId="2082" xr:uid="{00000000-0005-0000-0000-00001D030000}"/>
    <cellStyle name="ExtStyle 43 8 2" xfId="3983" xr:uid="{00000000-0005-0000-0000-00001E030000}"/>
    <cellStyle name="ExtStyle 43 9" xfId="2317" xr:uid="{00000000-0005-0000-0000-00001F030000}"/>
    <cellStyle name="ExtStyle 43 9 2" xfId="4218" xr:uid="{00000000-0005-0000-0000-000020030000}"/>
    <cellStyle name="ExtStyle 44" xfId="5398" xr:uid="{00000000-0005-0000-0000-000021030000}"/>
    <cellStyle name="ExtStyle 44 2" xfId="5979" xr:uid="{00000000-0005-0000-0000-000022030000}"/>
    <cellStyle name="ExtStyle 44 2 2" xfId="7399" xr:uid="{00000000-0005-0000-0000-000022030000}"/>
    <cellStyle name="ExtStyle 44 3" xfId="6842" xr:uid="{00000000-0005-0000-0000-000021030000}"/>
    <cellStyle name="ExtStyle 44 4" xfId="7811" xr:uid="{E965E586-73B3-4A86-8D0D-83D7946FE850}"/>
    <cellStyle name="ExtStyle 46" xfId="5399" xr:uid="{00000000-0005-0000-0000-000023030000}"/>
    <cellStyle name="ExtStyle 46 2" xfId="5980" xr:uid="{00000000-0005-0000-0000-000024030000}"/>
    <cellStyle name="ExtStyle 46 2 2" xfId="7400" xr:uid="{00000000-0005-0000-0000-000024030000}"/>
    <cellStyle name="ExtStyle 46 3" xfId="6843" xr:uid="{00000000-0005-0000-0000-000023030000}"/>
    <cellStyle name="ExtStyle 46 4" xfId="7812" xr:uid="{DA1C586A-8566-4374-9709-2174F6D76F26}"/>
    <cellStyle name="ExtStyle 46 5" xfId="9385" xr:uid="{6348D9EF-8E2B-4AF3-8A43-41C71A2A6BA7}"/>
    <cellStyle name="ExtStyle 47" xfId="113" xr:uid="{00000000-0005-0000-0000-000025030000}"/>
    <cellStyle name="ExtStyle 47 10" xfId="2800" xr:uid="{00000000-0005-0000-0000-000026030000}"/>
    <cellStyle name="ExtStyle 47 10 2" xfId="4689" xr:uid="{00000000-0005-0000-0000-000027030000}"/>
    <cellStyle name="ExtStyle 47 11" xfId="3037" xr:uid="{00000000-0005-0000-0000-000028030000}"/>
    <cellStyle name="ExtStyle 47 11 2" xfId="4923" xr:uid="{00000000-0005-0000-0000-000029030000}"/>
    <cellStyle name="ExtStyle 47 12" xfId="5159" xr:uid="{00000000-0005-0000-0000-00002A030000}"/>
    <cellStyle name="ExtStyle 47 12 2" xfId="6619" xr:uid="{00000000-0005-0000-0000-00002A030000}"/>
    <cellStyle name="ExtStyle 47 13" xfId="5400" xr:uid="{00000000-0005-0000-0000-00002B030000}"/>
    <cellStyle name="ExtStyle 47 13 2" xfId="6844" xr:uid="{00000000-0005-0000-0000-00002B030000}"/>
    <cellStyle name="ExtStyle 47 14" xfId="5623" xr:uid="{00000000-0005-0000-0000-00002C030000}"/>
    <cellStyle name="ExtStyle 47 14 2" xfId="7043" xr:uid="{00000000-0005-0000-0000-00002C030000}"/>
    <cellStyle name="ExtStyle 47 15" xfId="5742" xr:uid="{00000000-0005-0000-0000-00002D030000}"/>
    <cellStyle name="ExtStyle 47 15 2" xfId="7162" xr:uid="{00000000-0005-0000-0000-00002D030000}"/>
    <cellStyle name="ExtStyle 47 16" xfId="5981" xr:uid="{00000000-0005-0000-0000-00002E030000}"/>
    <cellStyle name="ExtStyle 47 16 2" xfId="7401" xr:uid="{00000000-0005-0000-0000-00002E030000}"/>
    <cellStyle name="ExtStyle 47 17" xfId="6233" xr:uid="{00000000-0005-0000-0000-00002F030000}"/>
    <cellStyle name="ExtStyle 47 17 2" xfId="7511" xr:uid="{00000000-0005-0000-0000-00002F030000}"/>
    <cellStyle name="ExtStyle 47 18" xfId="7813" xr:uid="{B77963DB-A9F5-4A08-8A92-A390775FAB95}"/>
    <cellStyle name="ExtStyle 47 19" xfId="9386" xr:uid="{749986B8-6605-49B0-9266-ECDBEAE4CEF0}"/>
    <cellStyle name="ExtStyle 47 2" xfId="347" xr:uid="{00000000-0005-0000-0000-000030030000}"/>
    <cellStyle name="ExtStyle 47 2 2" xfId="820" xr:uid="{00000000-0005-0000-0000-000031030000}"/>
    <cellStyle name="ExtStyle 47 2 2 2" xfId="7815" xr:uid="{62FF43F1-F741-40A7-B32C-C79ACFA903CC}"/>
    <cellStyle name="ExtStyle 47 2 3" xfId="7814" xr:uid="{5C0DB456-AD8C-42E9-BD2B-18EB66269F15}"/>
    <cellStyle name="ExtStyle 47 3" xfId="581" xr:uid="{00000000-0005-0000-0000-000032030000}"/>
    <cellStyle name="ExtStyle 47 3 2" xfId="1054" xr:uid="{00000000-0005-0000-0000-000033030000}"/>
    <cellStyle name="ExtStyle 47 3 3" xfId="7816" xr:uid="{D47CBE65-4850-486F-A5FE-430A5E549F6C}"/>
    <cellStyle name="ExtStyle 47 4" xfId="1294" xr:uid="{00000000-0005-0000-0000-000034030000}"/>
    <cellStyle name="ExtStyle 47 4 2" xfId="3278" xr:uid="{00000000-0005-0000-0000-000035030000}"/>
    <cellStyle name="ExtStyle 47 5" xfId="1589" xr:uid="{00000000-0005-0000-0000-000036030000}"/>
    <cellStyle name="ExtStyle 47 5 2" xfId="3516" xr:uid="{00000000-0005-0000-0000-000037030000}"/>
    <cellStyle name="ExtStyle 47 6" xfId="1840" xr:uid="{00000000-0005-0000-0000-000038030000}"/>
    <cellStyle name="ExtStyle 47 6 2" xfId="3750" xr:uid="{00000000-0005-0000-0000-000039030000}"/>
    <cellStyle name="ExtStyle 47 7" xfId="2084" xr:uid="{00000000-0005-0000-0000-00003A030000}"/>
    <cellStyle name="ExtStyle 47 7 2" xfId="3985" xr:uid="{00000000-0005-0000-0000-00003B030000}"/>
    <cellStyle name="ExtStyle 47 8" xfId="2319" xr:uid="{00000000-0005-0000-0000-00003C030000}"/>
    <cellStyle name="ExtStyle 47 8 2" xfId="4220" xr:uid="{00000000-0005-0000-0000-00003D030000}"/>
    <cellStyle name="ExtStyle 47 9" xfId="2566" xr:uid="{00000000-0005-0000-0000-00003E030000}"/>
    <cellStyle name="ExtStyle 47 9 2" xfId="4455" xr:uid="{00000000-0005-0000-0000-00003F030000}"/>
    <cellStyle name="ExtStyle 48" xfId="114" xr:uid="{00000000-0005-0000-0000-000040030000}"/>
    <cellStyle name="ExtStyle 48 10" xfId="2801" xr:uid="{00000000-0005-0000-0000-000041030000}"/>
    <cellStyle name="ExtStyle 48 10 2" xfId="4690" xr:uid="{00000000-0005-0000-0000-000042030000}"/>
    <cellStyle name="ExtStyle 48 11" xfId="3038" xr:uid="{00000000-0005-0000-0000-000043030000}"/>
    <cellStyle name="ExtStyle 48 11 2" xfId="4924" xr:uid="{00000000-0005-0000-0000-000044030000}"/>
    <cellStyle name="ExtStyle 48 12" xfId="5160" xr:uid="{00000000-0005-0000-0000-000045030000}"/>
    <cellStyle name="ExtStyle 48 12 2" xfId="6620" xr:uid="{00000000-0005-0000-0000-000045030000}"/>
    <cellStyle name="ExtStyle 48 13" xfId="5624" xr:uid="{00000000-0005-0000-0000-000046030000}"/>
    <cellStyle name="ExtStyle 48 13 2" xfId="7044" xr:uid="{00000000-0005-0000-0000-000046030000}"/>
    <cellStyle name="ExtStyle 48 14" xfId="5743" xr:uid="{00000000-0005-0000-0000-000047030000}"/>
    <cellStyle name="ExtStyle 48 14 2" xfId="7163" xr:uid="{00000000-0005-0000-0000-000047030000}"/>
    <cellStyle name="ExtStyle 48 15" xfId="6234" xr:uid="{00000000-0005-0000-0000-000048030000}"/>
    <cellStyle name="ExtStyle 48 15 2" xfId="7512" xr:uid="{00000000-0005-0000-0000-000048030000}"/>
    <cellStyle name="ExtStyle 48 2" xfId="348" xr:uid="{00000000-0005-0000-0000-000049030000}"/>
    <cellStyle name="ExtStyle 48 2 2" xfId="821" xr:uid="{00000000-0005-0000-0000-00004A030000}"/>
    <cellStyle name="ExtStyle 48 2 3" xfId="7817" xr:uid="{824C9F69-4E2C-4C70-9A7B-98C733D9C739}"/>
    <cellStyle name="ExtStyle 48 3" xfId="582" xr:uid="{00000000-0005-0000-0000-00004B030000}"/>
    <cellStyle name="ExtStyle 48 3 2" xfId="1055" xr:uid="{00000000-0005-0000-0000-00004C030000}"/>
    <cellStyle name="ExtStyle 48 3 3" xfId="7818" xr:uid="{09BF1A99-68AB-4227-AEF6-37048F810705}"/>
    <cellStyle name="ExtStyle 48 4" xfId="1295" xr:uid="{00000000-0005-0000-0000-00004D030000}"/>
    <cellStyle name="ExtStyle 48 4 2" xfId="3279" xr:uid="{00000000-0005-0000-0000-00004E030000}"/>
    <cellStyle name="ExtStyle 48 5" xfId="1590" xr:uid="{00000000-0005-0000-0000-00004F030000}"/>
    <cellStyle name="ExtStyle 48 5 2" xfId="3517" xr:uid="{00000000-0005-0000-0000-000050030000}"/>
    <cellStyle name="ExtStyle 48 6" xfId="1841" xr:uid="{00000000-0005-0000-0000-000051030000}"/>
    <cellStyle name="ExtStyle 48 6 2" xfId="3751" xr:uid="{00000000-0005-0000-0000-000052030000}"/>
    <cellStyle name="ExtStyle 48 7" xfId="2085" xr:uid="{00000000-0005-0000-0000-000053030000}"/>
    <cellStyle name="ExtStyle 48 7 2" xfId="3986" xr:uid="{00000000-0005-0000-0000-000054030000}"/>
    <cellStyle name="ExtStyle 48 8" xfId="2320" xr:uid="{00000000-0005-0000-0000-000055030000}"/>
    <cellStyle name="ExtStyle 48 8 2" xfId="4221" xr:uid="{00000000-0005-0000-0000-000056030000}"/>
    <cellStyle name="ExtStyle 48 9" xfId="2567" xr:uid="{00000000-0005-0000-0000-000057030000}"/>
    <cellStyle name="ExtStyle 48 9 2" xfId="4456" xr:uid="{00000000-0005-0000-0000-000058030000}"/>
    <cellStyle name="ExtStyle 49" xfId="115" xr:uid="{00000000-0005-0000-0000-000059030000}"/>
    <cellStyle name="ExtStyle 49 10" xfId="2568" xr:uid="{00000000-0005-0000-0000-00005A030000}"/>
    <cellStyle name="ExtStyle 49 10 2" xfId="4457" xr:uid="{00000000-0005-0000-0000-00005B030000}"/>
    <cellStyle name="ExtStyle 49 11" xfId="2802" xr:uid="{00000000-0005-0000-0000-00005C030000}"/>
    <cellStyle name="ExtStyle 49 11 2" xfId="4691" xr:uid="{00000000-0005-0000-0000-00005D030000}"/>
    <cellStyle name="ExtStyle 49 12" xfId="3039" xr:uid="{00000000-0005-0000-0000-00005E030000}"/>
    <cellStyle name="ExtStyle 49 12 2" xfId="4925" xr:uid="{00000000-0005-0000-0000-00005F030000}"/>
    <cellStyle name="ExtStyle 49 13" xfId="5161" xr:uid="{00000000-0005-0000-0000-000060030000}"/>
    <cellStyle name="ExtStyle 49 13 2" xfId="6621" xr:uid="{00000000-0005-0000-0000-000060030000}"/>
    <cellStyle name="ExtStyle 49 14" xfId="5625" xr:uid="{00000000-0005-0000-0000-000061030000}"/>
    <cellStyle name="ExtStyle 49 14 2" xfId="7045" xr:uid="{00000000-0005-0000-0000-000061030000}"/>
    <cellStyle name="ExtStyle 49 15" xfId="5744" xr:uid="{00000000-0005-0000-0000-000062030000}"/>
    <cellStyle name="ExtStyle 49 15 2" xfId="7164" xr:uid="{00000000-0005-0000-0000-000062030000}"/>
    <cellStyle name="ExtStyle 49 16" xfId="6235" xr:uid="{00000000-0005-0000-0000-000063030000}"/>
    <cellStyle name="ExtStyle 49 16 2" xfId="7513" xr:uid="{00000000-0005-0000-0000-000063030000}"/>
    <cellStyle name="ExtStyle 49 2" xfId="116" xr:uid="{00000000-0005-0000-0000-000064030000}"/>
    <cellStyle name="ExtStyle 49 2 10" xfId="2803" xr:uid="{00000000-0005-0000-0000-000065030000}"/>
    <cellStyle name="ExtStyle 49 2 10 2" xfId="4692" xr:uid="{00000000-0005-0000-0000-000066030000}"/>
    <cellStyle name="ExtStyle 49 2 11" xfId="3040" xr:uid="{00000000-0005-0000-0000-000067030000}"/>
    <cellStyle name="ExtStyle 49 2 11 2" xfId="4926" xr:uid="{00000000-0005-0000-0000-000068030000}"/>
    <cellStyle name="ExtStyle 49 2 12" xfId="5162" xr:uid="{00000000-0005-0000-0000-000069030000}"/>
    <cellStyle name="ExtStyle 49 2 12 2" xfId="6622" xr:uid="{00000000-0005-0000-0000-000069030000}"/>
    <cellStyle name="ExtStyle 49 2 13" xfId="5626" xr:uid="{00000000-0005-0000-0000-00006A030000}"/>
    <cellStyle name="ExtStyle 49 2 13 2" xfId="7046" xr:uid="{00000000-0005-0000-0000-00006A030000}"/>
    <cellStyle name="ExtStyle 49 2 14" xfId="5745" xr:uid="{00000000-0005-0000-0000-00006B030000}"/>
    <cellStyle name="ExtStyle 49 2 14 2" xfId="7165" xr:uid="{00000000-0005-0000-0000-00006B030000}"/>
    <cellStyle name="ExtStyle 49 2 15" xfId="6236" xr:uid="{00000000-0005-0000-0000-00006C030000}"/>
    <cellStyle name="ExtStyle 49 2 15 2" xfId="7514" xr:uid="{00000000-0005-0000-0000-00006C030000}"/>
    <cellStyle name="ExtStyle 49 2 2" xfId="350" xr:uid="{00000000-0005-0000-0000-00006D030000}"/>
    <cellStyle name="ExtStyle 49 2 2 2" xfId="823" xr:uid="{00000000-0005-0000-0000-00006E030000}"/>
    <cellStyle name="ExtStyle 49 2 3" xfId="584" xr:uid="{00000000-0005-0000-0000-00006F030000}"/>
    <cellStyle name="ExtStyle 49 2 3 2" xfId="1057" xr:uid="{00000000-0005-0000-0000-000070030000}"/>
    <cellStyle name="ExtStyle 49 2 4" xfId="1297" xr:uid="{00000000-0005-0000-0000-000071030000}"/>
    <cellStyle name="ExtStyle 49 2 4 2" xfId="3281" xr:uid="{00000000-0005-0000-0000-000072030000}"/>
    <cellStyle name="ExtStyle 49 2 5" xfId="1592" xr:uid="{00000000-0005-0000-0000-000073030000}"/>
    <cellStyle name="ExtStyle 49 2 5 2" xfId="3519" xr:uid="{00000000-0005-0000-0000-000074030000}"/>
    <cellStyle name="ExtStyle 49 2 6" xfId="1843" xr:uid="{00000000-0005-0000-0000-000075030000}"/>
    <cellStyle name="ExtStyle 49 2 6 2" xfId="3753" xr:uid="{00000000-0005-0000-0000-000076030000}"/>
    <cellStyle name="ExtStyle 49 2 7" xfId="2087" xr:uid="{00000000-0005-0000-0000-000077030000}"/>
    <cellStyle name="ExtStyle 49 2 7 2" xfId="3988" xr:uid="{00000000-0005-0000-0000-000078030000}"/>
    <cellStyle name="ExtStyle 49 2 8" xfId="2322" xr:uid="{00000000-0005-0000-0000-000079030000}"/>
    <cellStyle name="ExtStyle 49 2 8 2" xfId="4223" xr:uid="{00000000-0005-0000-0000-00007A030000}"/>
    <cellStyle name="ExtStyle 49 2 9" xfId="2569" xr:uid="{00000000-0005-0000-0000-00007B030000}"/>
    <cellStyle name="ExtStyle 49 2 9 2" xfId="4458" xr:uid="{00000000-0005-0000-0000-00007C030000}"/>
    <cellStyle name="ExtStyle 49 3" xfId="349" xr:uid="{00000000-0005-0000-0000-00007D030000}"/>
    <cellStyle name="ExtStyle 49 3 2" xfId="822" xr:uid="{00000000-0005-0000-0000-00007E030000}"/>
    <cellStyle name="ExtStyle 49 4" xfId="583" xr:uid="{00000000-0005-0000-0000-00007F030000}"/>
    <cellStyle name="ExtStyle 49 4 2" xfId="1056" xr:uid="{00000000-0005-0000-0000-000080030000}"/>
    <cellStyle name="ExtStyle 49 5" xfId="1296" xr:uid="{00000000-0005-0000-0000-000081030000}"/>
    <cellStyle name="ExtStyle 49 5 2" xfId="3280" xr:uid="{00000000-0005-0000-0000-000082030000}"/>
    <cellStyle name="ExtStyle 49 6" xfId="1591" xr:uid="{00000000-0005-0000-0000-000083030000}"/>
    <cellStyle name="ExtStyle 49 6 2" xfId="3518" xr:uid="{00000000-0005-0000-0000-000084030000}"/>
    <cellStyle name="ExtStyle 49 7" xfId="1842" xr:uid="{00000000-0005-0000-0000-000085030000}"/>
    <cellStyle name="ExtStyle 49 7 2" xfId="3752" xr:uid="{00000000-0005-0000-0000-000086030000}"/>
    <cellStyle name="ExtStyle 49 8" xfId="2086" xr:uid="{00000000-0005-0000-0000-000087030000}"/>
    <cellStyle name="ExtStyle 49 8 2" xfId="3987" xr:uid="{00000000-0005-0000-0000-000088030000}"/>
    <cellStyle name="ExtStyle 49 9" xfId="2321" xr:uid="{00000000-0005-0000-0000-000089030000}"/>
    <cellStyle name="ExtStyle 49 9 2" xfId="4222" xr:uid="{00000000-0005-0000-0000-00008A030000}"/>
    <cellStyle name="ExtStyle 69" xfId="5422" xr:uid="{00000000-0005-0000-0000-00008B030000}"/>
    <cellStyle name="ExtStyle 69 2" xfId="5998" xr:uid="{00000000-0005-0000-0000-00008C030000}"/>
    <cellStyle name="ExtStyle 69 2 2" xfId="7418" xr:uid="{00000000-0005-0000-0000-00008C030000}"/>
    <cellStyle name="ExtStyle 69 3" xfId="6855" xr:uid="{00000000-0005-0000-0000-00008B030000}"/>
    <cellStyle name="ExtStyle 75" xfId="5428" xr:uid="{00000000-0005-0000-0000-00008D030000}"/>
    <cellStyle name="ExtStyle 75 2" xfId="6004" xr:uid="{00000000-0005-0000-0000-00008E030000}"/>
    <cellStyle name="ExtStyle 75 2 2" xfId="7424" xr:uid="{00000000-0005-0000-0000-00008E030000}"/>
    <cellStyle name="ExtStyle 75 3" xfId="6856" xr:uid="{00000000-0005-0000-0000-00008D030000}"/>
    <cellStyle name="ExtStyle 81" xfId="7819" xr:uid="{017BC193-326D-4052-830A-D907B6C3F25A}"/>
    <cellStyle name="ExtStyle 82" xfId="5434" xr:uid="{00000000-0005-0000-0000-00008F030000}"/>
    <cellStyle name="ExtStyle 82 2" xfId="6010" xr:uid="{00000000-0005-0000-0000-000090030000}"/>
    <cellStyle name="ExtStyle 82 2 2" xfId="7430" xr:uid="{00000000-0005-0000-0000-000090030000}"/>
    <cellStyle name="ExtStyle 82 3" xfId="6858" xr:uid="{00000000-0005-0000-0000-00008F030000}"/>
    <cellStyle name="Good" xfId="8" builtinId="26" customBuiltin="1"/>
    <cellStyle name="Good 2" xfId="50" xr:uid="{00000000-0005-0000-0000-000092030000}"/>
    <cellStyle name="Good 2 2" xfId="7820" xr:uid="{AD7A7A55-E5B7-488D-937E-E79091251599}"/>
    <cellStyle name="Good 3" xfId="1509" xr:uid="{00000000-0005-0000-0000-000093030000}"/>
    <cellStyle name="Good 4" xfId="5423" xr:uid="{00000000-0005-0000-0000-000094030000}"/>
    <cellStyle name="Good 5" xfId="5999" xr:uid="{00000000-0005-0000-0000-000095030000}"/>
    <cellStyle name="Good 5 2" xfId="7419" xr:uid="{00000000-0005-0000-0000-000095030000}"/>
    <cellStyle name="Good 6" xfId="6070" xr:uid="{00000000-0005-0000-0000-000096030000}"/>
    <cellStyle name="Gut 2" xfId="9351" xr:uid="{20EFACC9-7BEE-4C7B-959D-F558612E2D8B}"/>
    <cellStyle name="Heading 1" xfId="4" builtinId="16" customBuiltin="1"/>
    <cellStyle name="Heading 1 2" xfId="46" xr:uid="{00000000-0005-0000-0000-000098030000}"/>
    <cellStyle name="Heading 1 2 2" xfId="7821" xr:uid="{2045777C-3A67-47AC-994A-5D0B557FB07B}"/>
    <cellStyle name="Heading 1 3" xfId="1505" xr:uid="{00000000-0005-0000-0000-000099030000}"/>
    <cellStyle name="Heading 1 4" xfId="5424" xr:uid="{00000000-0005-0000-0000-00009A030000}"/>
    <cellStyle name="Heading 1 5" xfId="6000" xr:uid="{00000000-0005-0000-0000-00009B030000}"/>
    <cellStyle name="Heading 1 5 2" xfId="7420" xr:uid="{00000000-0005-0000-0000-00009B030000}"/>
    <cellStyle name="Heading 1 6" xfId="6066" xr:uid="{00000000-0005-0000-0000-00009C030000}"/>
    <cellStyle name="Heading 2" xfId="5" builtinId="17" customBuiltin="1"/>
    <cellStyle name="Heading 2 2" xfId="47" xr:uid="{00000000-0005-0000-0000-00009E030000}"/>
    <cellStyle name="Heading 2 2 2" xfId="7822" xr:uid="{749B7F6B-7EAC-422F-A6D0-C5D9533E8677}"/>
    <cellStyle name="Heading 2 3" xfId="1506" xr:uid="{00000000-0005-0000-0000-00009F030000}"/>
    <cellStyle name="Heading 2 4" xfId="5425" xr:uid="{00000000-0005-0000-0000-0000A0030000}"/>
    <cellStyle name="Heading 2 5" xfId="6001" xr:uid="{00000000-0005-0000-0000-0000A1030000}"/>
    <cellStyle name="Heading 2 5 2" xfId="7421" xr:uid="{00000000-0005-0000-0000-0000A1030000}"/>
    <cellStyle name="Heading 2 6" xfId="6067" xr:uid="{00000000-0005-0000-0000-0000A2030000}"/>
    <cellStyle name="Heading 3" xfId="6" builtinId="18" customBuiltin="1"/>
    <cellStyle name="Heading 3 2" xfId="48" xr:uid="{00000000-0005-0000-0000-0000A4030000}"/>
    <cellStyle name="Heading 3 2 2" xfId="7823" xr:uid="{3C2247C8-08BE-48C9-ADE5-0D582992AA71}"/>
    <cellStyle name="Heading 3 2 3" xfId="8256" xr:uid="{0648290C-2F0E-425F-B0A2-5F746AAEF53C}"/>
    <cellStyle name="Heading 3 3" xfId="1507" xr:uid="{00000000-0005-0000-0000-0000A5030000}"/>
    <cellStyle name="Heading 3 3 2" xfId="7824" xr:uid="{634AA00D-5E33-46D8-8A5F-FFACF7EBFAF0}"/>
    <cellStyle name="Heading 3 3 3" xfId="8251" xr:uid="{187C88E8-B38A-4437-AC00-2BD01A0D6120}"/>
    <cellStyle name="Heading 3 4" xfId="5426" xr:uid="{00000000-0005-0000-0000-0000A6030000}"/>
    <cellStyle name="Heading 3 5" xfId="6002" xr:uid="{00000000-0005-0000-0000-0000A7030000}"/>
    <cellStyle name="Heading 3 5 2" xfId="7422" xr:uid="{00000000-0005-0000-0000-0000A7030000}"/>
    <cellStyle name="Heading 3 6" xfId="6068" xr:uid="{00000000-0005-0000-0000-0000A8030000}"/>
    <cellStyle name="Heading 4" xfId="7" builtinId="19" customBuiltin="1"/>
    <cellStyle name="Heading 4 2" xfId="49" xr:uid="{00000000-0005-0000-0000-0000AA030000}"/>
    <cellStyle name="Heading 4 2 2" xfId="7825" xr:uid="{F7710D27-D61C-4EEA-AA4C-476B55A3C75A}"/>
    <cellStyle name="Heading 4 3" xfId="1508" xr:uid="{00000000-0005-0000-0000-0000AB030000}"/>
    <cellStyle name="Heading 4 4" xfId="5427" xr:uid="{00000000-0005-0000-0000-0000AC030000}"/>
    <cellStyle name="Heading 4 5" xfId="6003" xr:uid="{00000000-0005-0000-0000-0000AD030000}"/>
    <cellStyle name="Heading 4 5 2" xfId="7423" xr:uid="{00000000-0005-0000-0000-0000AD030000}"/>
    <cellStyle name="Heading 4 6" xfId="6069" xr:uid="{00000000-0005-0000-0000-0000AE030000}"/>
    <cellStyle name="Hyperlink 2" xfId="9100" xr:uid="{2C66FD39-A4A1-4BC6-9C10-A0E5A2B6B9B6}"/>
    <cellStyle name="Input" xfId="11" builtinId="20" customBuiltin="1"/>
    <cellStyle name="Input 2" xfId="53" xr:uid="{00000000-0005-0000-0000-0000B0030000}"/>
    <cellStyle name="Input 2 2" xfId="7826" xr:uid="{A9CE8E79-15C1-4962-93F7-207502E8F53E}"/>
    <cellStyle name="Input 3" xfId="1512" xr:uid="{00000000-0005-0000-0000-0000B1030000}"/>
    <cellStyle name="Input 4" xfId="5429" xr:uid="{00000000-0005-0000-0000-0000B2030000}"/>
    <cellStyle name="Input 5" xfId="6005" xr:uid="{00000000-0005-0000-0000-0000B3030000}"/>
    <cellStyle name="Input 5 2" xfId="7425" xr:uid="{00000000-0005-0000-0000-0000B3030000}"/>
    <cellStyle name="Input 6" xfId="6073" xr:uid="{00000000-0005-0000-0000-0000B4030000}"/>
    <cellStyle name="Komma 2" xfId="7827" xr:uid="{AEFF59F8-84D9-43F7-90F0-ECB7CA43BDD1}"/>
    <cellStyle name="Komma 2 2" xfId="7828" xr:uid="{EFB9D952-A363-4F01-8EA9-74971863A42E}"/>
    <cellStyle name="Komma 2 2 2" xfId="7829" xr:uid="{B92B04ED-45C1-4497-886D-E46A2D54AA1E}"/>
    <cellStyle name="Komma 2 3" xfId="7830" xr:uid="{37128CCF-2E62-4A7C-9E25-91252DB03A19}"/>
    <cellStyle name="Komma 3" xfId="7831" xr:uid="{7D5B4973-68BB-4C58-BB9A-DE1C553357B8}"/>
    <cellStyle name="Komma 4" xfId="7832" xr:uid="{DB1E7B78-1245-4809-90E7-9AA829ADEF57}"/>
    <cellStyle name="Komma 4 2" xfId="9387" xr:uid="{8DEB3BF9-7393-4409-9678-AA9FFA0DA3B9}"/>
    <cellStyle name="Komma 5" xfId="7833" xr:uid="{D713D10F-A7BC-494D-9425-E1117C73BBB7}"/>
    <cellStyle name="Linked Cell" xfId="14" builtinId="24" customBuiltin="1"/>
    <cellStyle name="Linked Cell 2" xfId="56" xr:uid="{00000000-0005-0000-0000-0000B6030000}"/>
    <cellStyle name="Linked Cell 2 2" xfId="7834" xr:uid="{4DD85D23-3032-4C19-A853-B4E11B34BDEA}"/>
    <cellStyle name="Linked Cell 3" xfId="1515" xr:uid="{00000000-0005-0000-0000-0000B7030000}"/>
    <cellStyle name="Linked Cell 4" xfId="5430" xr:uid="{00000000-0005-0000-0000-0000B8030000}"/>
    <cellStyle name="Linked Cell 5" xfId="6006" xr:uid="{00000000-0005-0000-0000-0000B9030000}"/>
    <cellStyle name="Linked Cell 5 2" xfId="7426" xr:uid="{00000000-0005-0000-0000-0000B9030000}"/>
    <cellStyle name="Linked Cell 6" xfId="6076" xr:uid="{00000000-0005-0000-0000-0000BA030000}"/>
    <cellStyle name="Neutral" xfId="10" builtinId="28" customBuiltin="1"/>
    <cellStyle name="Neutral 2" xfId="52" xr:uid="{00000000-0005-0000-0000-0000BC030000}"/>
    <cellStyle name="Neutral 2 2" xfId="7835" xr:uid="{F5AACDD7-5E15-49FE-8929-FFB39CBC79B5}"/>
    <cellStyle name="Neutral 2 3" xfId="9352" xr:uid="{167BE122-514D-4A70-A01D-F7BBB38B1390}"/>
    <cellStyle name="Neutral 3" xfId="1511" xr:uid="{00000000-0005-0000-0000-0000BD030000}"/>
    <cellStyle name="Neutral 3 2" xfId="7836" xr:uid="{20962509-A94F-4E01-AA82-37F7D7A88613}"/>
    <cellStyle name="Neutral 4" xfId="5431" xr:uid="{00000000-0005-0000-0000-0000BE030000}"/>
    <cellStyle name="Neutral 5" xfId="6007" xr:uid="{00000000-0005-0000-0000-0000BF030000}"/>
    <cellStyle name="Neutral 5 2" xfId="7427" xr:uid="{00000000-0005-0000-0000-0000BF030000}"/>
    <cellStyle name="Neutral 6" xfId="6072" xr:uid="{00000000-0005-0000-0000-0000C0030000}"/>
    <cellStyle name="Normal" xfId="0" builtinId="0"/>
    <cellStyle name="Normal 10" xfId="792" xr:uid="{00000000-0005-0000-0000-0000C2030000}"/>
    <cellStyle name="Normal 10 2" xfId="1265" xr:uid="{00000000-0005-0000-0000-0000C3030000}"/>
    <cellStyle name="Normal 10 3" xfId="7837" xr:uid="{E38FC50F-0CA0-42AD-ABED-475FD9AEB59C}"/>
    <cellStyle name="Normal 100" xfId="6107" xr:uid="{00000000-0005-0000-0000-0000C4030000}"/>
    <cellStyle name="Normal 101" xfId="6109" xr:uid="{00000000-0005-0000-0000-0000C5030000}"/>
    <cellStyle name="Normal 102" xfId="6108" xr:uid="{00000000-0005-0000-0000-0000C6030000}"/>
    <cellStyle name="Normal 103" xfId="6110" xr:uid="{00000000-0005-0000-0000-0000C7030000}"/>
    <cellStyle name="Normal 104" xfId="6112" xr:uid="{00000000-0005-0000-0000-0000C8030000}"/>
    <cellStyle name="Normal 105" xfId="6111" xr:uid="{00000000-0005-0000-0000-0000C9030000}"/>
    <cellStyle name="Normal 106" xfId="6113" xr:uid="{00000000-0005-0000-0000-0000CA030000}"/>
    <cellStyle name="Normal 107" xfId="6115" xr:uid="{00000000-0005-0000-0000-0000CB030000}"/>
    <cellStyle name="Normal 108" xfId="6114" xr:uid="{00000000-0005-0000-0000-0000CC030000}"/>
    <cellStyle name="Normal 109" xfId="6116" xr:uid="{00000000-0005-0000-0000-0000CD030000}"/>
    <cellStyle name="Normal 11" xfId="793" xr:uid="{00000000-0005-0000-0000-0000CE030000}"/>
    <cellStyle name="Normal 11 2" xfId="1266" xr:uid="{00000000-0005-0000-0000-0000CF030000}"/>
    <cellStyle name="Normal 11 3" xfId="7838" xr:uid="{15F64895-6230-4D4D-A0BB-22379C2AD6A9}"/>
    <cellStyle name="Normal 110" xfId="6117" xr:uid="{00000000-0005-0000-0000-0000D0030000}"/>
    <cellStyle name="Normal 111" xfId="6119" xr:uid="{00000000-0005-0000-0000-0000D1030000}"/>
    <cellStyle name="Normal 112" xfId="6118" xr:uid="{00000000-0005-0000-0000-0000D2030000}"/>
    <cellStyle name="Normal 113" xfId="6120" xr:uid="{00000000-0005-0000-0000-0000D3030000}"/>
    <cellStyle name="Normal 114" xfId="6121" xr:uid="{00000000-0005-0000-0000-0000D4030000}"/>
    <cellStyle name="Normal 115" xfId="6122" xr:uid="{00000000-0005-0000-0000-0000D5030000}"/>
    <cellStyle name="Normal 116" xfId="6123" xr:uid="{00000000-0005-0000-0000-0000D6030000}"/>
    <cellStyle name="Normal 117" xfId="6125" xr:uid="{00000000-0005-0000-0000-0000D7030000}"/>
    <cellStyle name="Normal 118" xfId="6124" xr:uid="{00000000-0005-0000-0000-0000D8030000}"/>
    <cellStyle name="Normal 119" xfId="6126" xr:uid="{00000000-0005-0000-0000-0000D9030000}"/>
    <cellStyle name="Normal 119 2" xfId="7484" xr:uid="{00000000-0005-0000-0000-0000D9030000}"/>
    <cellStyle name="Normal 12" xfId="794" xr:uid="{00000000-0005-0000-0000-0000DA030000}"/>
    <cellStyle name="Normal 12 2" xfId="1267" xr:uid="{00000000-0005-0000-0000-0000DB030000}"/>
    <cellStyle name="Normal 12 3" xfId="7839" xr:uid="{FBC69DC0-D743-4DF9-8942-3CE2292529D8}"/>
    <cellStyle name="Normal 120" xfId="6127" xr:uid="{00000000-0005-0000-0000-0000DC030000}"/>
    <cellStyle name="Normal 121" xfId="6129" xr:uid="{00000000-0005-0000-0000-0000DD030000}"/>
    <cellStyle name="Normal 122" xfId="6128" xr:uid="{00000000-0005-0000-0000-0000DE030000}"/>
    <cellStyle name="Normal 123" xfId="6130" xr:uid="{00000000-0005-0000-0000-0000DF030000}"/>
    <cellStyle name="Normal 124" xfId="6131" xr:uid="{00000000-0005-0000-0000-0000E0030000}"/>
    <cellStyle name="Normal 125" xfId="6133" xr:uid="{00000000-0005-0000-0000-0000E1030000}"/>
    <cellStyle name="Normal 126" xfId="6132" xr:uid="{00000000-0005-0000-0000-0000E2030000}"/>
    <cellStyle name="Normal 126 2" xfId="7485" xr:uid="{00000000-0005-0000-0000-0000E2030000}"/>
    <cellStyle name="Normal 127" xfId="6134" xr:uid="{00000000-0005-0000-0000-0000E3030000}"/>
    <cellStyle name="Normal 128" xfId="6135" xr:uid="{00000000-0005-0000-0000-0000E4030000}"/>
    <cellStyle name="Normal 129" xfId="6136" xr:uid="{00000000-0005-0000-0000-0000E5030000}"/>
    <cellStyle name="Normal 13" xfId="1268" xr:uid="{00000000-0005-0000-0000-0000E6030000}"/>
    <cellStyle name="Normal 13 2" xfId="3252" xr:uid="{00000000-0005-0000-0000-0000E7030000}"/>
    <cellStyle name="Normal 13 3" xfId="7840" xr:uid="{5FEF2097-23AF-4812-BAA2-2B804D92AAF6}"/>
    <cellStyle name="Normal 130" xfId="6137" xr:uid="{00000000-0005-0000-0000-0000E8030000}"/>
    <cellStyle name="Normal 131" xfId="6138" xr:uid="{00000000-0005-0000-0000-0000E9030000}"/>
    <cellStyle name="Normal 132" xfId="6139" xr:uid="{00000000-0005-0000-0000-0000EA030000}"/>
    <cellStyle name="Normal 133" xfId="6140" xr:uid="{00000000-0005-0000-0000-0000EB030000}"/>
    <cellStyle name="Normal 134" xfId="6141" xr:uid="{00000000-0005-0000-0000-0000EC030000}"/>
    <cellStyle name="Normal 135" xfId="6142" xr:uid="{00000000-0005-0000-0000-0000ED030000}"/>
    <cellStyle name="Normal 136" xfId="6146" xr:uid="{00000000-0005-0000-0000-0000EE030000}"/>
    <cellStyle name="Normal 137" xfId="6145" xr:uid="{00000000-0005-0000-0000-0000EF030000}"/>
    <cellStyle name="Normal 138" xfId="6147" xr:uid="{00000000-0005-0000-0000-0000F0030000}"/>
    <cellStyle name="Normal 139" xfId="6143" xr:uid="{00000000-0005-0000-0000-0000F1030000}"/>
    <cellStyle name="Normal 14" xfId="1269" xr:uid="{00000000-0005-0000-0000-0000F2030000}"/>
    <cellStyle name="Normal 14 2" xfId="3253" xr:uid="{00000000-0005-0000-0000-0000F3030000}"/>
    <cellStyle name="Normal 14 3" xfId="7841" xr:uid="{1F90D494-DCD0-4DE1-B1FB-E48D35EC0296}"/>
    <cellStyle name="Normal 140" xfId="6144" xr:uid="{00000000-0005-0000-0000-0000F4030000}"/>
    <cellStyle name="Normal 141" xfId="6148" xr:uid="{00000000-0005-0000-0000-0000F5030000}"/>
    <cellStyle name="Normal 142" xfId="6149" xr:uid="{00000000-0005-0000-0000-0000F6030000}"/>
    <cellStyle name="Normal 143" xfId="6150" xr:uid="{00000000-0005-0000-0000-0000F7030000}"/>
    <cellStyle name="Normal 144" xfId="6153" xr:uid="{00000000-0005-0000-0000-0000F8030000}"/>
    <cellStyle name="Normal 145" xfId="6152" xr:uid="{00000000-0005-0000-0000-0000F9030000}"/>
    <cellStyle name="Normal 146" xfId="6154" xr:uid="{00000000-0005-0000-0000-0000FA030000}"/>
    <cellStyle name="Normal 147" xfId="6151" xr:uid="{00000000-0005-0000-0000-0000FB030000}"/>
    <cellStyle name="Normal 148" xfId="6155" xr:uid="{00000000-0005-0000-0000-0000FC030000}"/>
    <cellStyle name="Normal 149" xfId="6156" xr:uid="{00000000-0005-0000-0000-0000FD030000}"/>
    <cellStyle name="Normal 15" xfId="1503" xr:uid="{00000000-0005-0000-0000-0000FE030000}"/>
    <cellStyle name="Normal 15 2" xfId="7842" xr:uid="{7BB3F03E-87E7-4892-9657-C2F90F0487C9}"/>
    <cellStyle name="Normal 150" xfId="6157" xr:uid="{00000000-0005-0000-0000-0000FF030000}"/>
    <cellStyle name="Normal 151" xfId="6158" xr:uid="{00000000-0005-0000-0000-000000040000}"/>
    <cellStyle name="Normal 152" xfId="6159" xr:uid="{00000000-0005-0000-0000-000001040000}"/>
    <cellStyle name="Normal 153" xfId="6160" xr:uid="{00000000-0005-0000-0000-000002040000}"/>
    <cellStyle name="Normal 154" xfId="6161" xr:uid="{00000000-0005-0000-0000-000003040000}"/>
    <cellStyle name="Normal 155" xfId="6162" xr:uid="{00000000-0005-0000-0000-000004040000}"/>
    <cellStyle name="Normal 156" xfId="6163" xr:uid="{00000000-0005-0000-0000-000005040000}"/>
    <cellStyle name="Normal 157" xfId="6164" xr:uid="{00000000-0005-0000-0000-000006040000}"/>
    <cellStyle name="Normal 158" xfId="6165" xr:uid="{00000000-0005-0000-0000-000007040000}"/>
    <cellStyle name="Normal 159" xfId="6166" xr:uid="{00000000-0005-0000-0000-000008040000}"/>
    <cellStyle name="Normal 16" xfId="1545" xr:uid="{00000000-0005-0000-0000-000009040000}"/>
    <cellStyle name="Normal 16 2" xfId="7843" xr:uid="{DA7C798C-8637-4C1A-B562-B40011172719}"/>
    <cellStyle name="Normal 160" xfId="6167" xr:uid="{00000000-0005-0000-0000-00000A040000}"/>
    <cellStyle name="Normal 161" xfId="6168" xr:uid="{00000000-0005-0000-0000-00000B040000}"/>
    <cellStyle name="Normal 162" xfId="6169" xr:uid="{00000000-0005-0000-0000-00000C040000}"/>
    <cellStyle name="Normal 163" xfId="6170" xr:uid="{00000000-0005-0000-0000-00000D040000}"/>
    <cellStyle name="Normal 164" xfId="6171" xr:uid="{00000000-0005-0000-0000-00000E040000}"/>
    <cellStyle name="Normal 165" xfId="6172" xr:uid="{00000000-0005-0000-0000-00000F040000}"/>
    <cellStyle name="Normal 166" xfId="6173" xr:uid="{00000000-0005-0000-0000-000010040000}"/>
    <cellStyle name="Normal 167" xfId="6174" xr:uid="{00000000-0005-0000-0000-000011040000}"/>
    <cellStyle name="Normal 168" xfId="6175" xr:uid="{00000000-0005-0000-0000-000012040000}"/>
    <cellStyle name="Normal 169" xfId="6176" xr:uid="{00000000-0005-0000-0000-000013040000}"/>
    <cellStyle name="Normal 17" xfId="1546" xr:uid="{00000000-0005-0000-0000-000014040000}"/>
    <cellStyle name="Normal 17 2" xfId="3487" xr:uid="{00000000-0005-0000-0000-000015040000}"/>
    <cellStyle name="Normal 17 3" xfId="7844" xr:uid="{BDFF933D-4F56-4F10-BAAD-85B7204014BE}"/>
    <cellStyle name="Normal 170" xfId="6177" xr:uid="{00000000-0005-0000-0000-000016040000}"/>
    <cellStyle name="Normal 171" xfId="6178" xr:uid="{00000000-0005-0000-0000-000017040000}"/>
    <cellStyle name="Normal 172" xfId="6179" xr:uid="{00000000-0005-0000-0000-000018040000}"/>
    <cellStyle name="Normal 173" xfId="6180" xr:uid="{00000000-0005-0000-0000-000019040000}"/>
    <cellStyle name="Normal 174" xfId="6181" xr:uid="{00000000-0005-0000-0000-00001A040000}"/>
    <cellStyle name="Normal 175" xfId="6182" xr:uid="{00000000-0005-0000-0000-00001B040000}"/>
    <cellStyle name="Normal 176" xfId="6183" xr:uid="{00000000-0005-0000-0000-00001C040000}"/>
    <cellStyle name="Normal 177" xfId="6184" xr:uid="{00000000-0005-0000-0000-00001D040000}"/>
    <cellStyle name="Normal 178" xfId="6185" xr:uid="{00000000-0005-0000-0000-00001E040000}"/>
    <cellStyle name="Normal 179" xfId="6186" xr:uid="{00000000-0005-0000-0000-00001F040000}"/>
    <cellStyle name="Normal 18" xfId="1547" xr:uid="{00000000-0005-0000-0000-000020040000}"/>
    <cellStyle name="Normal 18 2" xfId="7845" xr:uid="{B377424E-44A5-4CD6-A0CB-6AAF5CAB3272}"/>
    <cellStyle name="Normal 180" xfId="6187" xr:uid="{00000000-0005-0000-0000-000021040000}"/>
    <cellStyle name="Normal 181" xfId="6188" xr:uid="{00000000-0005-0000-0000-000022040000}"/>
    <cellStyle name="Normal 182" xfId="6189" xr:uid="{00000000-0005-0000-0000-000023040000}"/>
    <cellStyle name="Normal 183" xfId="6190" xr:uid="{00000000-0005-0000-0000-000024040000}"/>
    <cellStyle name="Normal 184" xfId="6191" xr:uid="{00000000-0005-0000-0000-000025040000}"/>
    <cellStyle name="Normal 185" xfId="6192" xr:uid="{00000000-0005-0000-0000-000026040000}"/>
    <cellStyle name="Normal 186" xfId="6193" xr:uid="{00000000-0005-0000-0000-000027040000}"/>
    <cellStyle name="Normal 187" xfId="6194" xr:uid="{00000000-0005-0000-0000-000028040000}"/>
    <cellStyle name="Normal 188" xfId="6195" xr:uid="{00000000-0005-0000-0000-000029040000}"/>
    <cellStyle name="Normal 189" xfId="6196" xr:uid="{00000000-0005-0000-0000-00002A040000}"/>
    <cellStyle name="Normal 19" xfId="1548" xr:uid="{00000000-0005-0000-0000-00002B040000}"/>
    <cellStyle name="Normal 19 2" xfId="7846" xr:uid="{4E14E2F1-935F-4E6A-9077-18EE64BC8D49}"/>
    <cellStyle name="Normal 190" xfId="6197" xr:uid="{00000000-0005-0000-0000-00002C040000}"/>
    <cellStyle name="Normal 191" xfId="6198" xr:uid="{00000000-0005-0000-0000-00002D040000}"/>
    <cellStyle name="Normal 192" xfId="6199" xr:uid="{00000000-0005-0000-0000-00002E040000}"/>
    <cellStyle name="Normal 193" xfId="6200" xr:uid="{00000000-0005-0000-0000-00002F040000}"/>
    <cellStyle name="Normal 194" xfId="6201" xr:uid="{00000000-0005-0000-0000-000030040000}"/>
    <cellStyle name="Normal 195" xfId="6202" xr:uid="{00000000-0005-0000-0000-000031040000}"/>
    <cellStyle name="Normal 196" xfId="6203" xr:uid="{00000000-0005-0000-0000-000032040000}"/>
    <cellStyle name="Normal 197" xfId="6204" xr:uid="{00000000-0005-0000-0000-000033040000}"/>
    <cellStyle name="Normal 198" xfId="6205" xr:uid="{00000000-0005-0000-0000-000034040000}"/>
    <cellStyle name="Normal 199" xfId="6206" xr:uid="{00000000-0005-0000-0000-000035040000}"/>
    <cellStyle name="Normal 2" xfId="44" xr:uid="{00000000-0005-0000-0000-000036040000}"/>
    <cellStyle name="Normal 2 2" xfId="7848" xr:uid="{D3B72BC0-22BA-42CA-80C8-D52848B57015}"/>
    <cellStyle name="Normal 2 3" xfId="7847" xr:uid="{38EFB1A1-82A7-453B-A4A1-6A52F2C630BE}"/>
    <cellStyle name="Normal 2_3.2" xfId="7849" xr:uid="{4C69D1AE-E2DF-4549-8C2E-1A52205D57AD}"/>
    <cellStyle name="Normal 20" xfId="1549" xr:uid="{00000000-0005-0000-0000-000037040000}"/>
    <cellStyle name="Normal 20 2" xfId="7850" xr:uid="{40F8BD1F-1212-435C-8DBF-780F39D0726E}"/>
    <cellStyle name="Normal 200" xfId="6207" xr:uid="{00000000-0005-0000-0000-000038040000}"/>
    <cellStyle name="Normal 201" xfId="6208" xr:uid="{00000000-0005-0000-0000-000039040000}"/>
    <cellStyle name="Normal 201 2" xfId="7486" xr:uid="{00000000-0005-0000-0000-000039040000}"/>
    <cellStyle name="Normal 202" xfId="6442" xr:uid="{00000000-0005-0000-0000-00003A040000}"/>
    <cellStyle name="Normal 203" xfId="6443" xr:uid="{00000000-0005-0000-0000-00003B040000}"/>
    <cellStyle name="Normal 204" xfId="6444" xr:uid="{00000000-0005-0000-0000-00003C040000}"/>
    <cellStyle name="Normal 205" xfId="6445" xr:uid="{00000000-0005-0000-0000-00003D040000}"/>
    <cellStyle name="Normal 206" xfId="6446" xr:uid="{00000000-0005-0000-0000-00003E040000}"/>
    <cellStyle name="Normal 207" xfId="6447" xr:uid="{00000000-0005-0000-0000-00003F040000}"/>
    <cellStyle name="Normal 208" xfId="6448" xr:uid="{00000000-0005-0000-0000-000040040000}"/>
    <cellStyle name="Normal 209" xfId="6449" xr:uid="{00000000-0005-0000-0000-000041040000}"/>
    <cellStyle name="Normal 21" xfId="1550" xr:uid="{00000000-0005-0000-0000-000042040000}"/>
    <cellStyle name="Normal 21 2" xfId="3488" xr:uid="{00000000-0005-0000-0000-000043040000}"/>
    <cellStyle name="Normal 21 3" xfId="7851" xr:uid="{67355C5A-395C-4F32-A257-2FF8D69F9299}"/>
    <cellStyle name="Normal 210" xfId="6450" xr:uid="{00000000-0005-0000-0000-000044040000}"/>
    <cellStyle name="Normal 211" xfId="6451" xr:uid="{00000000-0005-0000-0000-000045040000}"/>
    <cellStyle name="Normal 212" xfId="6452" xr:uid="{00000000-0005-0000-0000-000046040000}"/>
    <cellStyle name="Normal 213" xfId="6453" xr:uid="{00000000-0005-0000-0000-000047040000}"/>
    <cellStyle name="Normal 214" xfId="6454" xr:uid="{00000000-0005-0000-0000-000048040000}"/>
    <cellStyle name="Normal 215" xfId="6455" xr:uid="{00000000-0005-0000-0000-000049040000}"/>
    <cellStyle name="Normal 216" xfId="6456" xr:uid="{00000000-0005-0000-0000-00004A040000}"/>
    <cellStyle name="Normal 217" xfId="6457" xr:uid="{00000000-0005-0000-0000-00004B040000}"/>
    <cellStyle name="Normal 218" xfId="6458" xr:uid="{00000000-0005-0000-0000-00004C040000}"/>
    <cellStyle name="Normal 219" xfId="6459" xr:uid="{00000000-0005-0000-0000-00004D040000}"/>
    <cellStyle name="Normal 22" xfId="1551" xr:uid="{00000000-0005-0000-0000-00004E040000}"/>
    <cellStyle name="Normal 22 2" xfId="7852" xr:uid="{DC5F6575-2C8A-4E0F-8366-663913EFBFA8}"/>
    <cellStyle name="Normal 220" xfId="6460" xr:uid="{00000000-0005-0000-0000-00004F040000}"/>
    <cellStyle name="Normal 221" xfId="6461" xr:uid="{00000000-0005-0000-0000-000050040000}"/>
    <cellStyle name="Normal 222" xfId="6462" xr:uid="{00000000-0005-0000-0000-000051040000}"/>
    <cellStyle name="Normal 223" xfId="6463" xr:uid="{00000000-0005-0000-0000-000052040000}"/>
    <cellStyle name="Normal 224" xfId="6464" xr:uid="{00000000-0005-0000-0000-000053040000}"/>
    <cellStyle name="Normal 225" xfId="6465" xr:uid="{00000000-0005-0000-0000-000054040000}"/>
    <cellStyle name="Normal 226" xfId="6466" xr:uid="{00000000-0005-0000-0000-000055040000}"/>
    <cellStyle name="Normal 227" xfId="6467" xr:uid="{00000000-0005-0000-0000-000056040000}"/>
    <cellStyle name="Normal 228" xfId="6468" xr:uid="{00000000-0005-0000-0000-000057040000}"/>
    <cellStyle name="Normal 229" xfId="6469" xr:uid="{00000000-0005-0000-0000-000058040000}"/>
    <cellStyle name="Normal 23" xfId="1552" xr:uid="{00000000-0005-0000-0000-000059040000}"/>
    <cellStyle name="Normal 23 2" xfId="7853" xr:uid="{099F0074-5A28-45AB-8564-3EC924FA0E94}"/>
    <cellStyle name="Normal 230" xfId="6470" xr:uid="{00000000-0005-0000-0000-00005A040000}"/>
    <cellStyle name="Normal 231" xfId="6471" xr:uid="{00000000-0005-0000-0000-00005B040000}"/>
    <cellStyle name="Normal 232" xfId="6472" xr:uid="{00000000-0005-0000-0000-00005C040000}"/>
    <cellStyle name="Normal 233" xfId="6473" xr:uid="{00000000-0005-0000-0000-00005D040000}"/>
    <cellStyle name="Normal 234" xfId="6474" xr:uid="{00000000-0005-0000-0000-00005E040000}"/>
    <cellStyle name="Normal 235" xfId="6475" xr:uid="{00000000-0005-0000-0000-00005F040000}"/>
    <cellStyle name="Normal 236" xfId="6476" xr:uid="{00000000-0005-0000-0000-000060040000}"/>
    <cellStyle name="Normal 237" xfId="6477" xr:uid="{00000000-0005-0000-0000-000061040000}"/>
    <cellStyle name="Normal 238" xfId="6478" xr:uid="{00000000-0005-0000-0000-000062040000}"/>
    <cellStyle name="Normal 239" xfId="6479" xr:uid="{00000000-0005-0000-0000-000063040000}"/>
    <cellStyle name="Normal 24" xfId="1553" xr:uid="{00000000-0005-0000-0000-000064040000}"/>
    <cellStyle name="Normal 24 2" xfId="7854" xr:uid="{52B155F6-6B23-4AF2-918F-FD94500DD800}"/>
    <cellStyle name="Normal 240" xfId="6480" xr:uid="{00000000-0005-0000-0000-000065040000}"/>
    <cellStyle name="Normal 241" xfId="6481" xr:uid="{00000000-0005-0000-0000-000066040000}"/>
    <cellStyle name="Normal 242" xfId="6482" xr:uid="{00000000-0005-0000-0000-000067040000}"/>
    <cellStyle name="Normal 243" xfId="6483" xr:uid="{00000000-0005-0000-0000-000068040000}"/>
    <cellStyle name="Normal 244" xfId="6484" xr:uid="{00000000-0005-0000-0000-000069040000}"/>
    <cellStyle name="Normal 245" xfId="6485" xr:uid="{00000000-0005-0000-0000-00006A040000}"/>
    <cellStyle name="Normal 246" xfId="6486" xr:uid="{00000000-0005-0000-0000-00006B040000}"/>
    <cellStyle name="Normal 247" xfId="6487" xr:uid="{00000000-0005-0000-0000-00006C040000}"/>
    <cellStyle name="Normal 248" xfId="6488" xr:uid="{00000000-0005-0000-0000-00006D040000}"/>
    <cellStyle name="Normal 249" xfId="6489" xr:uid="{00000000-0005-0000-0000-00006E040000}"/>
    <cellStyle name="Normal 25" xfId="1554" xr:uid="{00000000-0005-0000-0000-00006F040000}"/>
    <cellStyle name="Normal 25 2" xfId="7855" xr:uid="{82E35F01-9A00-4D47-9C4F-A895230DAA12}"/>
    <cellStyle name="Normal 250" xfId="6490" xr:uid="{00000000-0005-0000-0000-000070040000}"/>
    <cellStyle name="Normal 251" xfId="6491" xr:uid="{00000000-0005-0000-0000-000071040000}"/>
    <cellStyle name="Normal 252" xfId="6492" xr:uid="{00000000-0005-0000-0000-000072040000}"/>
    <cellStyle name="Normal 253" xfId="6493" xr:uid="{00000000-0005-0000-0000-000073040000}"/>
    <cellStyle name="Normal 254" xfId="6494" xr:uid="{00000000-0005-0000-0000-000074040000}"/>
    <cellStyle name="Normal 255" xfId="6495" xr:uid="{00000000-0005-0000-0000-000075040000}"/>
    <cellStyle name="Normal 256" xfId="6496" xr:uid="{00000000-0005-0000-0000-000076040000}"/>
    <cellStyle name="Normal 257" xfId="6497" xr:uid="{00000000-0005-0000-0000-000077040000}"/>
    <cellStyle name="Normal 258" xfId="6499" xr:uid="{00000000-0005-0000-0000-000078040000}"/>
    <cellStyle name="Normal 259" xfId="6498" xr:uid="{00000000-0005-0000-0000-000079040000}"/>
    <cellStyle name="Normal 26" xfId="1555" xr:uid="{00000000-0005-0000-0000-00007A040000}"/>
    <cellStyle name="Normal 26 2" xfId="7856" xr:uid="{34DFCB11-B0CB-464F-915B-95F219AB8432}"/>
    <cellStyle name="Normal 260" xfId="6500" xr:uid="{00000000-0005-0000-0000-00007B040000}"/>
    <cellStyle name="Normal 261" xfId="6501" xr:uid="{00000000-0005-0000-0000-00007C040000}"/>
    <cellStyle name="Normal 262" xfId="6502" xr:uid="{00000000-0005-0000-0000-00007D040000}"/>
    <cellStyle name="Normal 263" xfId="6503" xr:uid="{00000000-0005-0000-0000-00007E040000}"/>
    <cellStyle name="Normal 264" xfId="6504" xr:uid="{00000000-0005-0000-0000-00007F040000}"/>
    <cellStyle name="Normal 265" xfId="6505" xr:uid="{00000000-0005-0000-0000-000080040000}"/>
    <cellStyle name="Normal 266" xfId="6506" xr:uid="{00000000-0005-0000-0000-000081040000}"/>
    <cellStyle name="Normal 267" xfId="6507" xr:uid="{00000000-0005-0000-0000-000082040000}"/>
    <cellStyle name="Normal 268" xfId="6508" xr:uid="{00000000-0005-0000-0000-000083040000}"/>
    <cellStyle name="Normal 269" xfId="6509" xr:uid="{00000000-0005-0000-0000-000084040000}"/>
    <cellStyle name="Normal 27" xfId="1556" xr:uid="{00000000-0005-0000-0000-000085040000}"/>
    <cellStyle name="Normal 27 2" xfId="7857" xr:uid="{0F14E72C-734C-4DF5-AD39-4974BCCAF8E7}"/>
    <cellStyle name="Normal 270" xfId="6510" xr:uid="{00000000-0005-0000-0000-000086040000}"/>
    <cellStyle name="Normal 271" xfId="6511" xr:uid="{00000000-0005-0000-0000-000087040000}"/>
    <cellStyle name="Normal 272" xfId="6512" xr:uid="{00000000-0005-0000-0000-000088040000}"/>
    <cellStyle name="Normal 273" xfId="6513" xr:uid="{00000000-0005-0000-0000-000089040000}"/>
    <cellStyle name="Normal 274" xfId="6514" xr:uid="{00000000-0005-0000-0000-00008A040000}"/>
    <cellStyle name="Normal 275" xfId="6515" xr:uid="{00000000-0005-0000-0000-00008B040000}"/>
    <cellStyle name="Normal 276" xfId="6516" xr:uid="{00000000-0005-0000-0000-00008C040000}"/>
    <cellStyle name="Normal 277" xfId="6517" xr:uid="{00000000-0005-0000-0000-00008D040000}"/>
    <cellStyle name="Normal 278" xfId="6518" xr:uid="{00000000-0005-0000-0000-00008E040000}"/>
    <cellStyle name="Normal 279" xfId="6519" xr:uid="{00000000-0005-0000-0000-00008F040000}"/>
    <cellStyle name="Normal 28" xfId="1557" xr:uid="{00000000-0005-0000-0000-000090040000}"/>
    <cellStyle name="Normal 28 2" xfId="7858" xr:uid="{9B811E90-F668-4719-AF89-7C491C5BFB0A}"/>
    <cellStyle name="Normal 280" xfId="6520" xr:uid="{00000000-0005-0000-0000-000091040000}"/>
    <cellStyle name="Normal 281" xfId="6521" xr:uid="{00000000-0005-0000-0000-000092040000}"/>
    <cellStyle name="Normal 282" xfId="6522" xr:uid="{00000000-0005-0000-0000-000093040000}"/>
    <cellStyle name="Normal 283" xfId="6523" xr:uid="{00000000-0005-0000-0000-000094040000}"/>
    <cellStyle name="Normal 284" xfId="6524" xr:uid="{00000000-0005-0000-0000-000095040000}"/>
    <cellStyle name="Normal 285" xfId="6525" xr:uid="{00000000-0005-0000-0000-000096040000}"/>
    <cellStyle name="Normal 286" xfId="6526" xr:uid="{00000000-0005-0000-0000-000097040000}"/>
    <cellStyle name="Normal 287" xfId="6527" xr:uid="{00000000-0005-0000-0000-000098040000}"/>
    <cellStyle name="Normal 288" xfId="6528" xr:uid="{00000000-0005-0000-0000-000099040000}"/>
    <cellStyle name="Normal 289" xfId="6529" xr:uid="{00000000-0005-0000-0000-00009A040000}"/>
    <cellStyle name="Normal 29" xfId="1558" xr:uid="{00000000-0005-0000-0000-00009B040000}"/>
    <cellStyle name="Normal 29 2" xfId="7859" xr:uid="{FC95A2DC-1E31-4C3C-8DF3-1B86AFE3C338}"/>
    <cellStyle name="Normal 290" xfId="6530" xr:uid="{00000000-0005-0000-0000-00009C040000}"/>
    <cellStyle name="Normal 291" xfId="6531" xr:uid="{00000000-0005-0000-0000-00009D040000}"/>
    <cellStyle name="Normal 292" xfId="6532" xr:uid="{00000000-0005-0000-0000-00009E040000}"/>
    <cellStyle name="Normal 293" xfId="6533" xr:uid="{00000000-0005-0000-0000-00009F040000}"/>
    <cellStyle name="Normal 294" xfId="6534" xr:uid="{00000000-0005-0000-0000-0000A0040000}"/>
    <cellStyle name="Normal 295" xfId="6535" xr:uid="{00000000-0005-0000-0000-0000A1040000}"/>
    <cellStyle name="Normal 296" xfId="6536" xr:uid="{00000000-0005-0000-0000-0000A2040000}"/>
    <cellStyle name="Normal 297" xfId="6537" xr:uid="{00000000-0005-0000-0000-0000A3040000}"/>
    <cellStyle name="Normal 298" xfId="6538" xr:uid="{00000000-0005-0000-0000-0000A4040000}"/>
    <cellStyle name="Normal 299" xfId="6539" xr:uid="{00000000-0005-0000-0000-0000A5040000}"/>
    <cellStyle name="Normal 3" xfId="86" xr:uid="{00000000-0005-0000-0000-0000A6040000}"/>
    <cellStyle name="Normal 3 2" xfId="7860" xr:uid="{F3826BD8-D2AE-47F4-A7C4-B0DBBCBA450B}"/>
    <cellStyle name="Normal 30" xfId="1559" xr:uid="{00000000-0005-0000-0000-0000A7040000}"/>
    <cellStyle name="Normal 30 2" xfId="3489" xr:uid="{00000000-0005-0000-0000-0000A8040000}"/>
    <cellStyle name="Normal 30 3" xfId="7861" xr:uid="{E28E9736-349F-4816-9315-780BC1FEE9AD}"/>
    <cellStyle name="Normal 300" xfId="6540" xr:uid="{00000000-0005-0000-0000-0000A9040000}"/>
    <cellStyle name="Normal 301" xfId="6541" xr:uid="{00000000-0005-0000-0000-0000AA040000}"/>
    <cellStyle name="Normal 302" xfId="6542" xr:uid="{00000000-0005-0000-0000-0000AB040000}"/>
    <cellStyle name="Normal 303" xfId="6543" xr:uid="{00000000-0005-0000-0000-0000AC040000}"/>
    <cellStyle name="Normal 304" xfId="6544" xr:uid="{00000000-0005-0000-0000-0000AD040000}"/>
    <cellStyle name="Normal 305" xfId="6545" xr:uid="{00000000-0005-0000-0000-0000AE040000}"/>
    <cellStyle name="Normal 306" xfId="6546" xr:uid="{00000000-0005-0000-0000-0000AF040000}"/>
    <cellStyle name="Normal 307" xfId="6547" xr:uid="{00000000-0005-0000-0000-0000B0040000}"/>
    <cellStyle name="Normal 308" xfId="6548" xr:uid="{00000000-0005-0000-0000-0000B1040000}"/>
    <cellStyle name="Normal 309" xfId="6549" xr:uid="{00000000-0005-0000-0000-0000B2040000}"/>
    <cellStyle name="Normal 31" xfId="1560" xr:uid="{00000000-0005-0000-0000-0000B3040000}"/>
    <cellStyle name="Normal 31 2" xfId="7862" xr:uid="{BE611B7F-EF46-44E1-8903-268C1041A243}"/>
    <cellStyle name="Normal 310" xfId="6550" xr:uid="{00000000-0005-0000-0000-0000B4040000}"/>
    <cellStyle name="Normal 311" xfId="6551" xr:uid="{00000000-0005-0000-0000-0000B5040000}"/>
    <cellStyle name="Normal 312" xfId="7720" xr:uid="{09DCFEBB-6B98-4553-BFDA-4702C9080A26}"/>
    <cellStyle name="Normal 313" xfId="8987" xr:uid="{64BAD8A1-DCFF-4DD7-BCE0-C2857B5D3456}"/>
    <cellStyle name="Normal 314" xfId="9337" xr:uid="{84990D86-A417-4798-98B1-5BAA13A98C56}"/>
    <cellStyle name="Normal 315" xfId="9366" xr:uid="{2479329D-6A13-47C8-9011-4F241BC1B305}"/>
    <cellStyle name="Normal 316" xfId="9368" xr:uid="{ECEAF70D-1816-4E8A-9EFE-2BC5A125045B}"/>
    <cellStyle name="Normal 317" xfId="9434" xr:uid="{00000000-0005-0000-0000-0000DD240000}"/>
    <cellStyle name="Normal 318" xfId="9435" xr:uid="{00000000-0005-0000-0000-0000DE240000}"/>
    <cellStyle name="Normal 319" xfId="9436" xr:uid="{00000000-0005-0000-0000-0000DF240000}"/>
    <cellStyle name="Normal 32" xfId="1562" xr:uid="{00000000-0005-0000-0000-0000B6040000}"/>
    <cellStyle name="Normal 32 2" xfId="7863" xr:uid="{9CAE693F-8355-4D4B-A9EA-5AF5874456EC}"/>
    <cellStyle name="Normal 320" xfId="9437" xr:uid="{00000000-0005-0000-0000-0000E0240000}"/>
    <cellStyle name="Normal 321" xfId="9438" xr:uid="{00000000-0005-0000-0000-0000E1240000}"/>
    <cellStyle name="Normal 322" xfId="9439" xr:uid="{00000000-0005-0000-0000-0000E2240000}"/>
    <cellStyle name="Normal 323" xfId="9440" xr:uid="{00000000-0005-0000-0000-0000E3240000}"/>
    <cellStyle name="Normal 324" xfId="9441" xr:uid="{00000000-0005-0000-0000-0000E4240000}"/>
    <cellStyle name="Normal 325" xfId="9442" xr:uid="{00000000-0005-0000-0000-0000E5240000}"/>
    <cellStyle name="Normal 326" xfId="9443" xr:uid="{00000000-0005-0000-0000-0000E6240000}"/>
    <cellStyle name="Normal 327" xfId="9444" xr:uid="{00000000-0005-0000-0000-0000E7240000}"/>
    <cellStyle name="Normal 328" xfId="9445" xr:uid="{00000000-0005-0000-0000-0000E8240000}"/>
    <cellStyle name="Normal 329" xfId="9446" xr:uid="{00000000-0005-0000-0000-0000E9240000}"/>
    <cellStyle name="Normal 33" xfId="1561" xr:uid="{00000000-0005-0000-0000-0000B7040000}"/>
    <cellStyle name="Normal 33 2" xfId="7864" xr:uid="{49AE0CB8-8449-49FC-8879-B00D3CD2817F}"/>
    <cellStyle name="Normal 330" xfId="9447" xr:uid="{00000000-0005-0000-0000-0000EA240000}"/>
    <cellStyle name="Normal 331" xfId="9448" xr:uid="{00000000-0005-0000-0000-0000EB240000}"/>
    <cellStyle name="Normal 332" xfId="9449" xr:uid="{00000000-0005-0000-0000-0000EC240000}"/>
    <cellStyle name="Normal 333" xfId="9450" xr:uid="{00000000-0005-0000-0000-0000ED240000}"/>
    <cellStyle name="Normal 334" xfId="9451" xr:uid="{00000000-0005-0000-0000-0000EE240000}"/>
    <cellStyle name="Normal 34" xfId="1563" xr:uid="{00000000-0005-0000-0000-0000B8040000}"/>
    <cellStyle name="Normal 34 2" xfId="3490" xr:uid="{00000000-0005-0000-0000-0000B9040000}"/>
    <cellStyle name="Normal 34 3" xfId="7865" xr:uid="{85C3F3A1-4117-4B4A-9D55-EB0A99FCEEAB}"/>
    <cellStyle name="Normal 35" xfId="1564" xr:uid="{00000000-0005-0000-0000-0000BA040000}"/>
    <cellStyle name="Normal 35 2" xfId="3491" xr:uid="{00000000-0005-0000-0000-0000BB040000}"/>
    <cellStyle name="Normal 35 3" xfId="7866" xr:uid="{F2C86B45-AB80-4174-A11E-F0C3F516026A}"/>
    <cellStyle name="Normal 36" xfId="1798" xr:uid="{00000000-0005-0000-0000-0000BC040000}"/>
    <cellStyle name="Normal 36 2" xfId="7867" xr:uid="{F93DA12C-A593-43DD-8A9C-584EF8105F23}"/>
    <cellStyle name="Normal 37" xfId="1800" xr:uid="{00000000-0005-0000-0000-0000BD040000}"/>
    <cellStyle name="Normal 37 2" xfId="7868" xr:uid="{53D90BEC-A418-45B2-80AD-E37F147ADC51}"/>
    <cellStyle name="Normal 38" xfId="1799" xr:uid="{00000000-0005-0000-0000-0000BE040000}"/>
    <cellStyle name="Normal 38 2" xfId="7869" xr:uid="{35311B3D-FC2D-4466-A5B2-9A2AB5C9DA57}"/>
    <cellStyle name="Normal 39" xfId="1801" xr:uid="{00000000-0005-0000-0000-0000BF040000}"/>
    <cellStyle name="Normal 39 2" xfId="7870" xr:uid="{BDDC4813-792E-4E5B-B6DB-E6EC41B8CE29}"/>
    <cellStyle name="Normal 4" xfId="87" xr:uid="{00000000-0005-0000-0000-0000C0040000}"/>
    <cellStyle name="Normal 4 2" xfId="7871" xr:uid="{A7CBF85E-ABDD-4D91-AB39-CF84435BB4C7}"/>
    <cellStyle name="Normal 40" xfId="1802" xr:uid="{00000000-0005-0000-0000-0000C1040000}"/>
    <cellStyle name="Normal 40 2" xfId="7872" xr:uid="{E85A1BEC-E330-48B2-AF2C-DFAA260E6257}"/>
    <cellStyle name="Normal 41" xfId="1803" xr:uid="{00000000-0005-0000-0000-0000C2040000}"/>
    <cellStyle name="Normal 41 2" xfId="7873" xr:uid="{A75ECE0B-0136-4F09-A48F-A299CF81E50D}"/>
    <cellStyle name="Normal 42" xfId="1804" xr:uid="{00000000-0005-0000-0000-0000C3040000}"/>
    <cellStyle name="Normal 42 2" xfId="7874" xr:uid="{1A375EEB-DEB8-477E-AD3D-91667A081D2A}"/>
    <cellStyle name="Normal 43" xfId="1805" xr:uid="{00000000-0005-0000-0000-0000C4040000}"/>
    <cellStyle name="Normal 43 2" xfId="7875" xr:uid="{CFC3DF5A-93D0-4CE7-BA9F-0C88833291B7}"/>
    <cellStyle name="Normal 44" xfId="1806" xr:uid="{00000000-0005-0000-0000-0000C5040000}"/>
    <cellStyle name="Normal 44 2" xfId="7876" xr:uid="{D7CD970A-9346-4BBB-8CF7-DD7230540E21}"/>
    <cellStyle name="Normal 45" xfId="1807" xr:uid="{00000000-0005-0000-0000-0000C6040000}"/>
    <cellStyle name="Normal 45 2" xfId="7877" xr:uid="{8B7063B9-D244-4200-8636-DA9EB3C58B59}"/>
    <cellStyle name="Normal 46" xfId="1808" xr:uid="{00000000-0005-0000-0000-0000C7040000}"/>
    <cellStyle name="Normal 46 2" xfId="7878" xr:uid="{B06D49F5-16E4-445C-AB26-900B1CA7CB30}"/>
    <cellStyle name="Normal 47" xfId="1809" xr:uid="{00000000-0005-0000-0000-0000C8040000}"/>
    <cellStyle name="Normal 47 2" xfId="7879" xr:uid="{02BA94C4-0B4B-406C-BDA6-D240E7413C58}"/>
    <cellStyle name="Normal 48" xfId="1810" xr:uid="{00000000-0005-0000-0000-0000C9040000}"/>
    <cellStyle name="Normal 48 2" xfId="7880" xr:uid="{AECA4A87-AE67-4DDB-8ED4-172C7D5847E3}"/>
    <cellStyle name="Normal 49" xfId="1811" xr:uid="{00000000-0005-0000-0000-0000CA040000}"/>
    <cellStyle name="Normal 49 2" xfId="7881" xr:uid="{BB1AF06E-3823-4032-926E-7F8401B262ED}"/>
    <cellStyle name="Normal 5" xfId="88" xr:uid="{00000000-0005-0000-0000-0000CB040000}"/>
    <cellStyle name="Normal 5 2" xfId="7882" xr:uid="{36305CB9-012C-4461-97A0-68924C87D93D}"/>
    <cellStyle name="Normal 50" xfId="1812" xr:uid="{00000000-0005-0000-0000-0000CC040000}"/>
    <cellStyle name="Normal 50 2" xfId="7883" xr:uid="{6F9FAA9F-D44F-44D8-AEDE-D9DD8549464C}"/>
    <cellStyle name="Normal 51" xfId="1813" xr:uid="{00000000-0005-0000-0000-0000CD040000}"/>
    <cellStyle name="Normal 51 2" xfId="7884" xr:uid="{F6795350-2490-467D-AAF9-1CA0D66E9633}"/>
    <cellStyle name="Normal 52" xfId="1814" xr:uid="{00000000-0005-0000-0000-0000CE040000}"/>
    <cellStyle name="Normal 52 2" xfId="7885" xr:uid="{40216F8D-E245-436F-9DAB-ECE9ECBC4DBC}"/>
    <cellStyle name="Normal 53" xfId="1815" xr:uid="{00000000-0005-0000-0000-0000CF040000}"/>
    <cellStyle name="Normal 53 2" xfId="3725" xr:uid="{00000000-0005-0000-0000-0000D0040000}"/>
    <cellStyle name="Normal 53 3" xfId="7886" xr:uid="{8D41D48A-7409-4CE7-BE66-3D458FC40D03}"/>
    <cellStyle name="Normal 54" xfId="2049" xr:uid="{00000000-0005-0000-0000-0000D1040000}"/>
    <cellStyle name="Normal 54 2" xfId="3959" xr:uid="{00000000-0005-0000-0000-0000D2040000}"/>
    <cellStyle name="Normal 54 3" xfId="7887" xr:uid="{A72AF20A-DAF4-45C9-8986-B3E15A85A4F9}"/>
    <cellStyle name="Normal 55" xfId="2050" xr:uid="{00000000-0005-0000-0000-0000D3040000}"/>
    <cellStyle name="Normal 55 2" xfId="7888" xr:uid="{F7260788-3B75-414C-A101-945119D8D6EC}"/>
    <cellStyle name="Normal 56" xfId="2051" xr:uid="{00000000-0005-0000-0000-0000D4040000}"/>
    <cellStyle name="Normal 56 2" xfId="7889" xr:uid="{04DDD06D-55C5-4692-8FAA-6EB74C28E55B}"/>
    <cellStyle name="Normal 57" xfId="2052" xr:uid="{00000000-0005-0000-0000-0000D5040000}"/>
    <cellStyle name="Normal 57 2" xfId="7890" xr:uid="{6A177F74-F3A4-40D8-B8FC-F0A5143DB90E}"/>
    <cellStyle name="Normal 58" xfId="2053" xr:uid="{00000000-0005-0000-0000-0000D6040000}"/>
    <cellStyle name="Normal 58 2" xfId="7891" xr:uid="{9CE185A5-DB04-4C40-BE9C-EBFF204F00B8}"/>
    <cellStyle name="Normal 59" xfId="2054" xr:uid="{00000000-0005-0000-0000-0000D7040000}"/>
    <cellStyle name="Normal 59 2" xfId="7892" xr:uid="{B7D3B9EE-7609-4865-AA3B-7A772C94C2B7}"/>
    <cellStyle name="Normal 6" xfId="322" xr:uid="{00000000-0005-0000-0000-0000D8040000}"/>
    <cellStyle name="Normal 6 2" xfId="795" xr:uid="{00000000-0005-0000-0000-0000D9040000}"/>
    <cellStyle name="Normal 6 3" xfId="7893" xr:uid="{C708E922-ABE4-4A1A-B0DE-5BF93DC9B69F}"/>
    <cellStyle name="Normal 60" xfId="2055" xr:uid="{00000000-0005-0000-0000-0000DA040000}"/>
    <cellStyle name="Normal 60 2" xfId="7894" xr:uid="{BA721086-D402-4771-BB69-C62D3AD3A8D6}"/>
    <cellStyle name="Normal 61" xfId="2056" xr:uid="{00000000-0005-0000-0000-0000DB040000}"/>
    <cellStyle name="Normal 61 2" xfId="3960" xr:uid="{00000000-0005-0000-0000-0000DC040000}"/>
    <cellStyle name="Normal 61 3" xfId="7895" xr:uid="{C6E487DC-1748-4AEE-93BE-CC38A3EBB86A}"/>
    <cellStyle name="Normal 62" xfId="2057" xr:uid="{00000000-0005-0000-0000-0000DD040000}"/>
    <cellStyle name="Normal 62 2" xfId="7896" xr:uid="{54F60301-D80D-4D06-97D3-83906C0E7483}"/>
    <cellStyle name="Normal 63" xfId="2058" xr:uid="{00000000-0005-0000-0000-0000DE040000}"/>
    <cellStyle name="Normal 63 2" xfId="7897" xr:uid="{B0A33613-12B4-420A-8B3D-04EC04A405DE}"/>
    <cellStyle name="Normal 64" xfId="2059" xr:uid="{00000000-0005-0000-0000-0000DF040000}"/>
    <cellStyle name="Normal 64 2" xfId="7898" xr:uid="{1EA36928-F94E-4E9F-8B5A-6406C4561152}"/>
    <cellStyle name="Normal 65" xfId="2293" xr:uid="{00000000-0005-0000-0000-0000E0040000}"/>
    <cellStyle name="Normal 65 2" xfId="4194" xr:uid="{00000000-0005-0000-0000-0000E1040000}"/>
    <cellStyle name="Normal 66" xfId="2294" xr:uid="{00000000-0005-0000-0000-0000E2040000}"/>
    <cellStyle name="Normal 66 2" xfId="4195" xr:uid="{00000000-0005-0000-0000-0000E3040000}"/>
    <cellStyle name="Normal 67" xfId="2528" xr:uid="{00000000-0005-0000-0000-0000E4040000}"/>
    <cellStyle name="Normal 68" xfId="2530" xr:uid="{00000000-0005-0000-0000-0000E5040000}"/>
    <cellStyle name="Normal 69" xfId="2529" xr:uid="{00000000-0005-0000-0000-0000E6040000}"/>
    <cellStyle name="Normal 7" xfId="556" xr:uid="{00000000-0005-0000-0000-0000E7040000}"/>
    <cellStyle name="Normal 7 2" xfId="1029" xr:uid="{00000000-0005-0000-0000-0000E8040000}"/>
    <cellStyle name="Normal 7 3" xfId="7899" xr:uid="{496FB641-A3FA-4CCD-A810-45C18E4C544B}"/>
    <cellStyle name="Normal 70" xfId="2531" xr:uid="{00000000-0005-0000-0000-0000E9040000}"/>
    <cellStyle name="Normal 71" xfId="2532" xr:uid="{00000000-0005-0000-0000-0000EA040000}"/>
    <cellStyle name="Normal 72" xfId="2533" xr:uid="{00000000-0005-0000-0000-0000EB040000}"/>
    <cellStyle name="Normal 73" xfId="2534" xr:uid="{00000000-0005-0000-0000-0000EC040000}"/>
    <cellStyle name="Normal 74" xfId="2535" xr:uid="{00000000-0005-0000-0000-0000ED040000}"/>
    <cellStyle name="Normal 75" xfId="2536" xr:uid="{00000000-0005-0000-0000-0000EE040000}"/>
    <cellStyle name="Normal 76" xfId="2538" xr:uid="{00000000-0005-0000-0000-0000EF040000}"/>
    <cellStyle name="Normal 77" xfId="2537" xr:uid="{00000000-0005-0000-0000-0000F0040000}"/>
    <cellStyle name="Normal 78" xfId="2539" xr:uid="{00000000-0005-0000-0000-0000F1040000}"/>
    <cellStyle name="Normal 79" xfId="2540" xr:uid="{00000000-0005-0000-0000-0000F2040000}"/>
    <cellStyle name="Normal 79 2" xfId="4429" xr:uid="{00000000-0005-0000-0000-0000F3040000}"/>
    <cellStyle name="Normal 8" xfId="790" xr:uid="{00000000-0005-0000-0000-0000F4040000}"/>
    <cellStyle name="Normal 8 2" xfId="1263" xr:uid="{00000000-0005-0000-0000-0000F5040000}"/>
    <cellStyle name="Normal 8 3" xfId="7900" xr:uid="{6DA0D442-4875-4D29-ADAA-720755C52651}"/>
    <cellStyle name="Normal 80" xfId="2541" xr:uid="{00000000-0005-0000-0000-0000F6040000}"/>
    <cellStyle name="Normal 80 2" xfId="4430" xr:uid="{00000000-0005-0000-0000-0000F7040000}"/>
    <cellStyle name="Normal 81" xfId="2775" xr:uid="{00000000-0005-0000-0000-0000F8040000}"/>
    <cellStyle name="Normal 81 2" xfId="4664" xr:uid="{00000000-0005-0000-0000-0000F9040000}"/>
    <cellStyle name="Normal 82" xfId="3009" xr:uid="{00000000-0005-0000-0000-0000FA040000}"/>
    <cellStyle name="Normal 83" xfId="3011" xr:uid="{00000000-0005-0000-0000-0000FB040000}"/>
    <cellStyle name="Normal 84" xfId="3010" xr:uid="{00000000-0005-0000-0000-0000FC040000}"/>
    <cellStyle name="Normal 85" xfId="3012" xr:uid="{00000000-0005-0000-0000-0000FD040000}"/>
    <cellStyle name="Normal 85 2" xfId="4898" xr:uid="{00000000-0005-0000-0000-0000FE040000}"/>
    <cellStyle name="Normal 86" xfId="3246" xr:uid="{00000000-0005-0000-0000-0000FF040000}"/>
    <cellStyle name="Normal 87" xfId="3247" xr:uid="{00000000-0005-0000-0000-000000050000}"/>
    <cellStyle name="Normal 88" xfId="3248" xr:uid="{00000000-0005-0000-0000-000001050000}"/>
    <cellStyle name="Normal 89" xfId="3249" xr:uid="{00000000-0005-0000-0000-000002050000}"/>
    <cellStyle name="Normal 89 2" xfId="5132" xr:uid="{00000000-0005-0000-0000-000003050000}"/>
    <cellStyle name="Normal 9" xfId="791" xr:uid="{00000000-0005-0000-0000-000004050000}"/>
    <cellStyle name="Normal 9 2" xfId="1264" xr:uid="{00000000-0005-0000-0000-000005050000}"/>
    <cellStyle name="Normal 9 3" xfId="7901" xr:uid="{DB433E75-4AA0-49C2-82C7-D9DC20374540}"/>
    <cellStyle name="Normal 90" xfId="3250" xr:uid="{00000000-0005-0000-0000-000006050000}"/>
    <cellStyle name="Normal 91" xfId="3251" xr:uid="{00000000-0005-0000-0000-000007050000}"/>
    <cellStyle name="Normal 92" xfId="5133" xr:uid="{00000000-0005-0000-0000-000008050000}"/>
    <cellStyle name="Normal 93" xfId="5134" xr:uid="{00000000-0005-0000-0000-000009050000}"/>
    <cellStyle name="Normal 94" xfId="5368" xr:uid="{00000000-0005-0000-0000-00000A050000}"/>
    <cellStyle name="Normal 95" xfId="5369" xr:uid="{00000000-0005-0000-0000-00000B050000}"/>
    <cellStyle name="Normal 95 2" xfId="6828" xr:uid="{00000000-0005-0000-0000-00000B050000}"/>
    <cellStyle name="Normal 96" xfId="5716" xr:uid="{00000000-0005-0000-0000-00000C050000}"/>
    <cellStyle name="Normal 96 2" xfId="7136" xr:uid="{00000000-0005-0000-0000-00000C050000}"/>
    <cellStyle name="Normal 97" xfId="5717" xr:uid="{00000000-0005-0000-0000-00000D050000}"/>
    <cellStyle name="Normal 97 2" xfId="7137" xr:uid="{00000000-0005-0000-0000-00000D050000}"/>
    <cellStyle name="Normal 98" xfId="6064" xr:uid="{00000000-0005-0000-0000-00000E050000}"/>
    <cellStyle name="Normal 99" xfId="6106" xr:uid="{00000000-0005-0000-0000-00000F050000}"/>
    <cellStyle name="Note" xfId="17" builtinId="10" customBuiltin="1"/>
    <cellStyle name="Note 2" xfId="59" xr:uid="{00000000-0005-0000-0000-000011050000}"/>
    <cellStyle name="Note 3" xfId="1518" xr:uid="{00000000-0005-0000-0000-000012050000}"/>
    <cellStyle name="Note 4" xfId="5432" xr:uid="{00000000-0005-0000-0000-000013050000}"/>
    <cellStyle name="Note 4 2" xfId="6857" xr:uid="{00000000-0005-0000-0000-000013050000}"/>
    <cellStyle name="Note 5" xfId="6008" xr:uid="{00000000-0005-0000-0000-000014050000}"/>
    <cellStyle name="Note 5 2" xfId="7428" xr:uid="{00000000-0005-0000-0000-000014050000}"/>
    <cellStyle name="Note 6" xfId="6079" xr:uid="{00000000-0005-0000-0000-000015050000}"/>
    <cellStyle name="Notiz 2" xfId="9101" xr:uid="{11D68F81-575E-4EE6-9B15-3A77B857CEED}"/>
    <cellStyle name="Notiz 2 10" xfId="9353" xr:uid="{1ACC2967-A32F-4DB1-A720-1847C56D734C}"/>
    <cellStyle name="Notiz 2 2" xfId="9102" xr:uid="{7836AC57-C2B9-4D7B-B4ED-F7C7324C4B15}"/>
    <cellStyle name="Notiz 2 2 2" xfId="9103" xr:uid="{6F826F15-0230-4702-B00E-A55B182B840B}"/>
    <cellStyle name="Notiz 2 2 2 2" xfId="9104" xr:uid="{F8527F1E-D03F-459C-99FA-108D9BF97E80}"/>
    <cellStyle name="Notiz 2 2 2 3" xfId="9254" xr:uid="{6B9776BD-6846-4532-9FC5-7A181016275D}"/>
    <cellStyle name="Notiz 2 2 3" xfId="9105" xr:uid="{4D1FEB7F-1038-4624-970F-06A1A486BD62}"/>
    <cellStyle name="Notiz 2 2 3 2" xfId="9299" xr:uid="{CBACED33-2926-4360-B223-B1FF43F053B3}"/>
    <cellStyle name="Notiz 2 2 4" xfId="9106" xr:uid="{29725B60-3251-436F-B461-2182DEE445E3}"/>
    <cellStyle name="Notiz 2 2 4 2" xfId="9329" xr:uid="{4FE25341-3FF9-4ADF-BCB2-2E8EFBDA2CE3}"/>
    <cellStyle name="Notiz 2 2 5" xfId="9107" xr:uid="{655B0D3E-BF50-4FA1-8B90-474307CE6511}"/>
    <cellStyle name="Notiz 2 2 6" xfId="9229" xr:uid="{6455CE8D-F0B0-4360-B645-B1873FA9FBC3}"/>
    <cellStyle name="Notiz 2 3" xfId="9108" xr:uid="{E548BFDD-1C40-4689-9D30-93DAF9C7E3D0}"/>
    <cellStyle name="Notiz 2 3 2" xfId="9109" xr:uid="{96753337-6B54-4E1C-BD21-B44A6CA68502}"/>
    <cellStyle name="Notiz 2 3 2 2" xfId="9110" xr:uid="{6385AEAF-E1ED-45E2-862A-1232CD351A78}"/>
    <cellStyle name="Notiz 2 3 2 3" xfId="9255" xr:uid="{A6F2172D-47CE-4A27-9EE7-E9EA7F42CA81}"/>
    <cellStyle name="Notiz 2 3 3" xfId="9111" xr:uid="{5B7931F0-5A94-4860-B5EC-0282EA2E2DAB}"/>
    <cellStyle name="Notiz 2 3 3 2" xfId="9289" xr:uid="{6F8B6943-33BA-4CB3-A4C0-6B0E8026E76B}"/>
    <cellStyle name="Notiz 2 3 4" xfId="9112" xr:uid="{3E808804-55E4-4CA4-97F5-158674DA9AC0}"/>
    <cellStyle name="Notiz 2 3 4 2" xfId="9319" xr:uid="{93F9D389-AF6E-48AC-895A-56531425A57D}"/>
    <cellStyle name="Notiz 2 3 5" xfId="9113" xr:uid="{297D399F-71E7-4346-8369-A58A1C71AD56}"/>
    <cellStyle name="Notiz 2 3 6" xfId="9219" xr:uid="{2D206667-3AA6-4429-AE1B-7812F799B83E}"/>
    <cellStyle name="Notiz 2 4" xfId="9114" xr:uid="{64194428-AE55-414D-9DDD-AA606BC13956}"/>
    <cellStyle name="Notiz 2 4 2" xfId="9115" xr:uid="{981C741A-1214-41F5-80FD-7B694A38D68D}"/>
    <cellStyle name="Notiz 2 4 3" xfId="9256" xr:uid="{300FCC14-51D1-47DA-9C5F-03DF96E4A613}"/>
    <cellStyle name="Notiz 2 5" xfId="9116" xr:uid="{AC2731EF-0D0F-440A-9EE5-B817A263105C}"/>
    <cellStyle name="Notiz 2 5 2" xfId="9117" xr:uid="{F7540EDD-D15B-4671-B2E5-C1714EC25879}"/>
    <cellStyle name="Notiz 2 5 3" xfId="9257" xr:uid="{1D4F48DD-4843-4BB0-A0A0-0C2E96638418}"/>
    <cellStyle name="Notiz 2 6" xfId="9118" xr:uid="{6CE36113-64EC-4814-A0F6-438913F487CA}"/>
    <cellStyle name="Notiz 2 6 2" xfId="9279" xr:uid="{79C49476-4E22-4437-8797-F7DC845FBAA7}"/>
    <cellStyle name="Notiz 2 7" xfId="9119" xr:uid="{27CFC63C-97ED-4AA1-89F3-C97DC3DB51C8}"/>
    <cellStyle name="Notiz 2 7 2" xfId="9309" xr:uid="{850C4B55-CD25-46AD-9A93-68697EE9A0C0}"/>
    <cellStyle name="Notiz 2 8" xfId="9120" xr:uid="{E20C10D7-854C-4AA2-B177-814FFD5EA551}"/>
    <cellStyle name="Notiz 2 9" xfId="9208" xr:uid="{120D20A6-69CE-4613-8D49-9C690965CC9A}"/>
    <cellStyle name="Output" xfId="12" builtinId="21" customBuiltin="1"/>
    <cellStyle name="Output 2" xfId="54" xr:uid="{00000000-0005-0000-0000-000017050000}"/>
    <cellStyle name="Output 2 2" xfId="7902" xr:uid="{AD41CDD0-A06D-4A0E-95B1-7816E6EFDA95}"/>
    <cellStyle name="Output 3" xfId="1513" xr:uid="{00000000-0005-0000-0000-000018050000}"/>
    <cellStyle name="Output 4" xfId="5433" xr:uid="{00000000-0005-0000-0000-000019050000}"/>
    <cellStyle name="Output 5" xfId="6009" xr:uid="{00000000-0005-0000-0000-00001A050000}"/>
    <cellStyle name="Output 5 2" xfId="7429" xr:uid="{00000000-0005-0000-0000-00001A050000}"/>
    <cellStyle name="Output 6" xfId="6074" xr:uid="{00000000-0005-0000-0000-00001B050000}"/>
    <cellStyle name="Percent" xfId="1" builtinId="5"/>
    <cellStyle name="Percent 2" xfId="7903" xr:uid="{F1E5256A-18BB-4592-90EA-1FFD6E7758DD}"/>
    <cellStyle name="Percent 2 2" xfId="7904" xr:uid="{E8011775-B410-429C-A1D8-EDCD901F507C}"/>
    <cellStyle name="Percent 2 3" xfId="7905" xr:uid="{E520E165-3BD6-4644-B7CC-44AA448E1DE2}"/>
    <cellStyle name="Percent 3" xfId="7906" xr:uid="{C0441D0C-9E83-4D23-A611-1B7CCA918419}"/>
    <cellStyle name="Percent 4" xfId="7907" xr:uid="{37A84327-B0CF-4DAC-B7FA-7E55B4050823}"/>
    <cellStyle name="Prozent 2" xfId="7908" xr:uid="{6D2148A1-1FBC-4BCE-947A-4B14471C14AC}"/>
    <cellStyle name="Prozent 2 2" xfId="7909" xr:uid="{615E6D4B-7D7A-4A88-85B9-494C629C80EF}"/>
    <cellStyle name="Prozent 2 3" xfId="7910" xr:uid="{456498BE-E5E1-4506-BC9C-3CDDC55B2D42}"/>
    <cellStyle name="Prozent 2 3 2" xfId="7911" xr:uid="{3096169B-C26D-4D32-8A9B-8C14388A5C48}"/>
    <cellStyle name="Prozent 2 4" xfId="7912" xr:uid="{B02204D9-C8EF-4BD8-90A0-37BFE1D5C6B2}"/>
    <cellStyle name="Prozent 2 5" xfId="7913" xr:uid="{2F08BA1D-AE46-4E8F-900C-B1E5D5B6208C}"/>
    <cellStyle name="Prozent 3" xfId="7914" xr:uid="{4235187F-B3BB-40A7-BA5C-465A6607A6F5}"/>
    <cellStyle name="Prozent 4" xfId="7915" xr:uid="{2B4142A6-E5B4-4A18-AFE7-DA7E1C0B4074}"/>
    <cellStyle name="Prozent 4 2" xfId="7916" xr:uid="{282A6037-459E-413D-A8B9-51DBCD239CD5}"/>
    <cellStyle name="Prozent 5" xfId="7917" xr:uid="{827EAA93-E9AD-4553-B7BF-731BEC561863}"/>
    <cellStyle name="Prozent 5 2" xfId="7918" xr:uid="{F62F8AF3-7AE2-4EF0-B4DF-5A742C9BC4B6}"/>
    <cellStyle name="Prozent 6" xfId="7919" xr:uid="{67DBEE13-5A2A-42D2-9FF1-5AF8767E6DD5}"/>
    <cellStyle name="Prozent 6 2" xfId="7920" xr:uid="{7B504118-760F-421F-87E9-4343E52E8C73}"/>
    <cellStyle name="Prozent 7" xfId="7921" xr:uid="{C5045630-C20A-4896-9A87-AE34E1E273C3}"/>
    <cellStyle name="Prozent 7 2" xfId="7922" xr:uid="{D4A35C08-4AAC-44E4-ABB2-4B0D6CE5AA53}"/>
    <cellStyle name="Prozent 8" xfId="7923" xr:uid="{50E7F7B0-69D2-4375-845E-5499459DA712}"/>
    <cellStyle name="Prozent 9" xfId="7924" xr:uid="{B11D86CD-80DA-4A44-AE08-FD93632F6F50}"/>
    <cellStyle name="Schlecht 2" xfId="9354" xr:uid="{A27F8DA6-48C2-4551-83C5-B95BF51AE7F9}"/>
    <cellStyle name="Standard 10" xfId="7925" xr:uid="{559A813B-081A-4E01-BF81-DF4BF0A40099}"/>
    <cellStyle name="Standard 10 2" xfId="7926" xr:uid="{0DED577D-8068-4BAF-87DF-67FEDCA54E23}"/>
    <cellStyle name="Standard 11" xfId="7927" xr:uid="{C87B47BD-F229-44B7-9750-521F52A207D7}"/>
    <cellStyle name="Standard 11 2" xfId="7928" xr:uid="{A55E5A0A-B603-46A1-ADFE-14A009B5FBC6}"/>
    <cellStyle name="Standard 117" xfId="9121" xr:uid="{095B5D20-55D5-4546-95B2-108EF26B28D0}"/>
    <cellStyle name="Standard 118" xfId="9122" xr:uid="{97F169F3-78A3-4F9B-AB18-842D4574820A}"/>
    <cellStyle name="Standard 118 2" xfId="9123" xr:uid="{DAF11990-0482-47E6-B88F-6488E8FA62AE}"/>
    <cellStyle name="Standard 118 2 2" xfId="9124" xr:uid="{BEE1B62B-442D-4425-BADD-1551F7A33F0B}"/>
    <cellStyle name="Standard 118 2 2 2" xfId="9125" xr:uid="{4F71E184-92F7-4EE6-9AC2-76E2C00DBE38}"/>
    <cellStyle name="Standard 118 2 2 3" xfId="9258" xr:uid="{6638CA90-229D-4991-8F40-20C3DFFD520D}"/>
    <cellStyle name="Standard 118 2 3" xfId="9126" xr:uid="{BC378CBE-9124-4712-805A-F19B405837EA}"/>
    <cellStyle name="Standard 118 2 3 2" xfId="9300" xr:uid="{A2DD7698-3370-47B3-A641-426F89C1CCED}"/>
    <cellStyle name="Standard 118 2 4" xfId="9127" xr:uid="{9A84A081-F623-4349-BDA6-2CE7297C1D0C}"/>
    <cellStyle name="Standard 118 2 4 2" xfId="9330" xr:uid="{3FA263C8-F882-45D7-A83B-5A5CF66241F3}"/>
    <cellStyle name="Standard 118 2 5" xfId="9128" xr:uid="{17834E8B-82E8-4743-B092-FA86B81E1494}"/>
    <cellStyle name="Standard 118 2 6" xfId="9230" xr:uid="{EDBE9E34-138B-4FF5-B7D6-BC53CC458251}"/>
    <cellStyle name="Standard 118 3" xfId="9129" xr:uid="{B7F0A731-1877-4374-9F74-2B5D80F1168B}"/>
    <cellStyle name="Standard 118 3 2" xfId="9130" xr:uid="{810E4E74-6A58-4EE4-AB59-D3F58703AE05}"/>
    <cellStyle name="Standard 118 3 2 2" xfId="9131" xr:uid="{5B9984EB-14FB-4455-B8C7-F49AF538F3BA}"/>
    <cellStyle name="Standard 118 3 2 3" xfId="9259" xr:uid="{C7681F19-3C7C-4D0C-8028-36D18D75DF02}"/>
    <cellStyle name="Standard 118 3 3" xfId="9132" xr:uid="{B95C4CFE-4759-4136-B67B-EC815E5BD65A}"/>
    <cellStyle name="Standard 118 3 3 2" xfId="9290" xr:uid="{CF5E8129-1EB5-4735-B2EC-E758127136BE}"/>
    <cellStyle name="Standard 118 3 4" xfId="9133" xr:uid="{BE1AADBB-E09E-4631-A810-B8C8F87234AE}"/>
    <cellStyle name="Standard 118 3 4 2" xfId="9320" xr:uid="{BAFD999E-98FF-4D95-BBF7-2C36533642AE}"/>
    <cellStyle name="Standard 118 3 5" xfId="9134" xr:uid="{F07EE189-6859-4DE1-8528-BAE49612AD00}"/>
    <cellStyle name="Standard 118 3 6" xfId="9220" xr:uid="{FCDE7830-3BA5-4DA2-A240-5C04BF63A9A8}"/>
    <cellStyle name="Standard 118 4" xfId="9135" xr:uid="{CB566B7A-26A6-45DD-B71C-85EE4086B78C}"/>
    <cellStyle name="Standard 118 4 2" xfId="9136" xr:uid="{85FD5DE6-ECCD-4010-9E9D-48365897190B}"/>
    <cellStyle name="Standard 118 4 3" xfId="9260" xr:uid="{3E7AB6BC-394A-4755-BF80-BB33BCEC6DD8}"/>
    <cellStyle name="Standard 118 5" xfId="9137" xr:uid="{A8B76CAC-E2E0-4757-AB6C-A4741CF1F372}"/>
    <cellStyle name="Standard 118 5 2" xfId="9138" xr:uid="{449B629D-2AA1-409B-B4BA-02B9D692E2EB}"/>
    <cellStyle name="Standard 118 5 3" xfId="9261" xr:uid="{93B0F712-F5A5-40EA-8335-CBDF7CFA6AD5}"/>
    <cellStyle name="Standard 118 6" xfId="9139" xr:uid="{A8F29F2F-908C-42B5-93FA-B46C65144349}"/>
    <cellStyle name="Standard 118 6 2" xfId="9280" xr:uid="{A4CD837A-B64C-41E7-80FB-71BE4B6782B0}"/>
    <cellStyle name="Standard 118 7" xfId="9140" xr:uid="{4BAE414F-BD15-4F7B-A32C-C91EC8C4AC42}"/>
    <cellStyle name="Standard 118 7 2" xfId="9310" xr:uid="{79192035-459B-4E97-BFEB-9DEB790CA0C3}"/>
    <cellStyle name="Standard 118 8" xfId="9141" xr:uid="{8D528BC7-47BE-42C7-AF3C-21077930AFB1}"/>
    <cellStyle name="Standard 118 9" xfId="9209" xr:uid="{9070183F-20D5-4378-A877-CC56B0B31449}"/>
    <cellStyle name="Standard 12" xfId="7929" xr:uid="{96D434E0-6FFE-49F6-98E6-23B39D4F441C}"/>
    <cellStyle name="Standard 12 10" xfId="7930" xr:uid="{9F0DA37F-B642-4C4A-A205-2718F30A781A}"/>
    <cellStyle name="Standard 12 10 2" xfId="7931" xr:uid="{49398505-4B9E-4E3C-BDA8-BCC944CEAA21}"/>
    <cellStyle name="Standard 12 11" xfId="7932" xr:uid="{75BC7624-E178-47C7-9679-9A22C1B60D66}"/>
    <cellStyle name="Standard 12 11 2" xfId="7933" xr:uid="{20D81BC1-369E-4081-BD41-1BEC9B62C293}"/>
    <cellStyle name="Standard 12 12" xfId="7934" xr:uid="{6D348175-8F99-4547-B5CA-8359ADBDE4D0}"/>
    <cellStyle name="Standard 12 12 2" xfId="7935" xr:uid="{5D246E63-D908-4FA4-AA02-AF0FFCEDA4B4}"/>
    <cellStyle name="Standard 12 13" xfId="7936" xr:uid="{8AAE4244-4074-47EF-A649-C341FDE98B7D}"/>
    <cellStyle name="Standard 12 13 2" xfId="7937" xr:uid="{74376D6A-6A44-4DED-8BEF-7E51F4C6E0B7}"/>
    <cellStyle name="Standard 12 14" xfId="7938" xr:uid="{AEEEC60B-907F-48D9-A59F-28CD7F90EC50}"/>
    <cellStyle name="Standard 12 14 2" xfId="7939" xr:uid="{336430CF-88AE-4D63-B89C-8EE91500FB2D}"/>
    <cellStyle name="Standard 12 15" xfId="7940" xr:uid="{8D50F803-AAC8-495E-BE08-FA5F0554F795}"/>
    <cellStyle name="Standard 12 15 2" xfId="7941" xr:uid="{03D565DF-62AC-41C5-8A6B-1E0514A5170A}"/>
    <cellStyle name="Standard 12 16" xfId="7942" xr:uid="{1D87A98C-BAC0-418E-A8F1-5887BE444EF2}"/>
    <cellStyle name="Standard 12 16 2" xfId="7943" xr:uid="{96AA7E90-DB53-4DE0-9F50-B8113B0EE3E2}"/>
    <cellStyle name="Standard 12 17" xfId="7944" xr:uid="{A0DC07A2-4CE1-4398-A8DB-9712006F8425}"/>
    <cellStyle name="Standard 12 17 2" xfId="7945" xr:uid="{E956FA07-BBA6-448A-B5DF-6FEEB77F154C}"/>
    <cellStyle name="Standard 12 18" xfId="7946" xr:uid="{C6BB0EEC-F4BD-4D3B-82FF-D509716BA120}"/>
    <cellStyle name="Standard 12 18 2" xfId="7947" xr:uid="{45F1532E-2BDB-4AB3-9FAD-A94FDAC1B2A2}"/>
    <cellStyle name="Standard 12 19" xfId="7948" xr:uid="{76AC0CD5-3DF3-4834-8A0B-9F20DBF97B56}"/>
    <cellStyle name="Standard 12 19 2" xfId="7949" xr:uid="{FE271E4B-0B75-4427-BE28-2A21AAF606F3}"/>
    <cellStyle name="Standard 12 2" xfId="7950" xr:uid="{B0062D24-633A-44B4-BA5C-733231F5253D}"/>
    <cellStyle name="Standard 12 2 2" xfId="7951" xr:uid="{8ACD226D-5FC6-4542-85C3-31DBF89E29F0}"/>
    <cellStyle name="Standard 12 20" xfId="7952" xr:uid="{7DB8CE3F-7B27-4A6D-9071-F51DD0CB50F8}"/>
    <cellStyle name="Standard 12 20 2" xfId="7953" xr:uid="{A330CD33-0BA7-4D15-B644-ADE5349EE43D}"/>
    <cellStyle name="Standard 12 21" xfId="7954" xr:uid="{CDFB2EF8-ED84-4E64-BF63-D8B906633F3B}"/>
    <cellStyle name="Standard 12 21 2" xfId="7955" xr:uid="{6A5CEC40-3184-4843-A4E6-CCF165738263}"/>
    <cellStyle name="Standard 12 22" xfId="7956" xr:uid="{818127EB-8A69-4F0C-9E97-AEE5AAFAA35B}"/>
    <cellStyle name="Standard 12 22 2" xfId="7957" xr:uid="{82E700A3-78D6-4ECC-800E-46A80A2E9BCD}"/>
    <cellStyle name="Standard 12 23" xfId="7958" xr:uid="{ADB05F11-4366-4F2A-AD4D-103993113F2F}"/>
    <cellStyle name="Standard 12 23 2" xfId="7959" xr:uid="{0ED3BF9B-9DCC-44BC-8812-41B3085116E6}"/>
    <cellStyle name="Standard 12 24" xfId="7960" xr:uid="{F29BBD97-C6BA-4605-90FD-840D8B748DD2}"/>
    <cellStyle name="Standard 12 24 2" xfId="7961" xr:uid="{9F2089CB-2D0B-4A1B-92D5-B65FE9E31CED}"/>
    <cellStyle name="Standard 12 25" xfId="7962" xr:uid="{CB86ADB2-73C5-477D-8865-C6A64733A12E}"/>
    <cellStyle name="Standard 12 25 2" xfId="7963" xr:uid="{D2055049-A175-46B9-919F-AC237AA77CF8}"/>
    <cellStyle name="Standard 12 26" xfId="7964" xr:uid="{4A533D09-1878-45F9-9947-37F2D3469320}"/>
    <cellStyle name="Standard 12 26 2" xfId="7965" xr:uid="{134C9039-35B0-4C6F-84AC-1BD91E0D5362}"/>
    <cellStyle name="Standard 12 27" xfId="7966" xr:uid="{75F83EA9-75C3-4A7A-83F8-2E0BF856D620}"/>
    <cellStyle name="Standard 12 27 2" xfId="7967" xr:uid="{CD9B6068-926D-46C4-9BF1-85FB17F09642}"/>
    <cellStyle name="Standard 12 28" xfId="7968" xr:uid="{7D587720-41C3-46FA-9C2B-E4033B3E87CB}"/>
    <cellStyle name="Standard 12 28 2" xfId="7969" xr:uid="{136A2D75-CFF8-4C26-A858-4B26E03E4A2C}"/>
    <cellStyle name="Standard 12 29" xfId="7970" xr:uid="{B83B989F-A500-4922-AB38-D978AE129A7D}"/>
    <cellStyle name="Standard 12 29 2" xfId="7971" xr:uid="{5993C2E1-9F05-4674-8C0D-A36AD738E9CC}"/>
    <cellStyle name="Standard 12 3" xfId="7972" xr:uid="{9EBC2C44-9D0B-4451-A5D0-70C88669FC51}"/>
    <cellStyle name="Standard 12 3 2" xfId="7973" xr:uid="{03E37826-C612-4910-867A-D41FE207CE21}"/>
    <cellStyle name="Standard 12 30" xfId="7974" xr:uid="{CD2543BF-87D8-4878-8D57-BAC881F079DC}"/>
    <cellStyle name="Standard 12 30 2" xfId="7975" xr:uid="{0D61CC93-AFA1-4186-988E-36FAA04AD4AA}"/>
    <cellStyle name="Standard 12 30 2 2" xfId="7976" xr:uid="{4077D299-E85B-4903-95CF-DF8041C8B65C}"/>
    <cellStyle name="Standard 12 30 3" xfId="7977" xr:uid="{8C84429F-AD32-40EE-A73B-65CA608FD5A1}"/>
    <cellStyle name="Standard 12 30 4" xfId="7978" xr:uid="{C8CD0F4E-A1CB-4AAC-8A5E-8E9C09D61FD5}"/>
    <cellStyle name="Standard 12 30 5" xfId="7979" xr:uid="{C7C9CDC0-585D-4E8C-BE3F-A04E00F4E340}"/>
    <cellStyle name="Standard 12 31" xfId="7980" xr:uid="{ED01E89A-E603-4465-97E4-7E8E4FA9C371}"/>
    <cellStyle name="Standard 12 4" xfId="7981" xr:uid="{BC51C94C-7DE9-4E76-BAE3-A4E635B11ACA}"/>
    <cellStyle name="Standard 12 4 2" xfId="7982" xr:uid="{0E74733F-C8C5-4D01-AC44-8276E5002AEE}"/>
    <cellStyle name="Standard 12 5" xfId="7983" xr:uid="{12CE45FE-CA07-44DB-93D9-A696D0E3362E}"/>
    <cellStyle name="Standard 12 5 2" xfId="7984" xr:uid="{7C323599-6187-45A4-A956-09E6DCD9D039}"/>
    <cellStyle name="Standard 12 6" xfId="7985" xr:uid="{5E3F1D22-F60A-4CA3-A50B-B6BF783D9408}"/>
    <cellStyle name="Standard 12 6 2" xfId="7986" xr:uid="{3C09146A-27A6-4AE0-AACB-0AF67D451F6C}"/>
    <cellStyle name="Standard 12 7" xfId="7987" xr:uid="{B2336F54-F904-4E43-AAED-9640A6085299}"/>
    <cellStyle name="Standard 12 7 2" xfId="7988" xr:uid="{19AB399D-9A4A-4E9D-AE99-70135D2D89E9}"/>
    <cellStyle name="Standard 12 8" xfId="7989" xr:uid="{AD3CFD67-CFEA-4FC5-B05F-6BFEA8E803D8}"/>
    <cellStyle name="Standard 12 8 2" xfId="7990" xr:uid="{F05F829C-86DC-4835-9348-AD89A0C08865}"/>
    <cellStyle name="Standard 12 9" xfId="7991" xr:uid="{3EFEA504-7811-430D-83CD-55E14843752C}"/>
    <cellStyle name="Standard 12 9 2" xfId="7992" xr:uid="{FEDA1C23-CE3C-43C8-93BC-0EB6CCEA42E5}"/>
    <cellStyle name="Standard 13" xfId="7993" xr:uid="{2D25EB8D-CF11-4D22-9FB0-FEC0FAD1E3A8}"/>
    <cellStyle name="Standard 13 2" xfId="7994" xr:uid="{91F9514E-C039-4E0C-849D-461F1F75F415}"/>
    <cellStyle name="Standard 14" xfId="7995" xr:uid="{FE2A6697-8C03-472D-8E99-CEE0E6AE29D4}"/>
    <cellStyle name="Standard 14 2" xfId="7996" xr:uid="{6E4096B9-1D9F-46F7-8611-D2DF3207F0B2}"/>
    <cellStyle name="Standard 15" xfId="7997" xr:uid="{A95C0608-BE24-4F1E-A7CA-DB8C1C21D143}"/>
    <cellStyle name="Standard 15 2" xfId="7998" xr:uid="{25F75435-E82F-40AB-89BE-04443EC66723}"/>
    <cellStyle name="Standard 15 2 2" xfId="7999" xr:uid="{80905400-45BD-4333-987A-180E8F28CB74}"/>
    <cellStyle name="Standard 15 3" xfId="8000" xr:uid="{85E5E1EF-920F-404C-ACC7-B74551A0FDEF}"/>
    <cellStyle name="Standard 16" xfId="8001" xr:uid="{7BD60809-0038-4037-AA2D-1580F2DFD0F9}"/>
    <cellStyle name="Standard 16 2" xfId="8002" xr:uid="{8171AF91-9667-44FC-BACD-A90BE67F810B}"/>
    <cellStyle name="Standard 17" xfId="8003" xr:uid="{387BADA3-05F2-4DD1-ABC2-463EE8422FB3}"/>
    <cellStyle name="Standard 17 2" xfId="8004" xr:uid="{027D783B-9ECC-4234-B4A5-B9BBF585A0D5}"/>
    <cellStyle name="Standard 17 3" xfId="8005" xr:uid="{779F22A2-98DF-481B-9EAC-F5EA44C1FC3A}"/>
    <cellStyle name="Standard 18" xfId="8006" xr:uid="{BF473775-FA8B-4A24-8FB4-527CCDBC336D}"/>
    <cellStyle name="Standard 18 10" xfId="8007" xr:uid="{08085375-A3A0-4EFF-8666-6720518CAF72}"/>
    <cellStyle name="Standard 18 10 2" xfId="8008" xr:uid="{23055485-1155-4D00-BDF1-3184C26FAAA8}"/>
    <cellStyle name="Standard 18 11" xfId="8009" xr:uid="{8DB250A8-1327-4E12-B1C6-130C2C24C2F7}"/>
    <cellStyle name="Standard 18 11 2" xfId="8010" xr:uid="{5CC6F234-5085-449A-87C9-DD14C15E6B75}"/>
    <cellStyle name="Standard 18 12" xfId="8011" xr:uid="{0EB0FEFF-143D-4532-AA68-000AD32137C1}"/>
    <cellStyle name="Standard 18 12 2" xfId="8012" xr:uid="{896818C6-7967-4207-9A95-C0E9F406C921}"/>
    <cellStyle name="Standard 18 13" xfId="8013" xr:uid="{17347AD2-46DC-495F-9450-8D36A7EC4824}"/>
    <cellStyle name="Standard 18 13 2" xfId="8014" xr:uid="{177E5500-F3D4-4ADB-9888-43675425A4CD}"/>
    <cellStyle name="Standard 18 14" xfId="8015" xr:uid="{6C8C88F1-9696-4BD6-8A49-26D7E3C839C3}"/>
    <cellStyle name="Standard 18 14 2" xfId="8016" xr:uid="{500CE239-E86D-4E19-9232-4DF3F283F74F}"/>
    <cellStyle name="Standard 18 15" xfId="8017" xr:uid="{547F30DB-4107-4842-9113-287D2E2B9708}"/>
    <cellStyle name="Standard 18 15 2" xfId="8018" xr:uid="{71AAF944-1FB7-4903-87F0-9AD13BC47A65}"/>
    <cellStyle name="Standard 18 16" xfId="8019" xr:uid="{F5609F29-BD4E-4412-AE37-F8DBCA0893C5}"/>
    <cellStyle name="Standard 18 16 2" xfId="8020" xr:uid="{B2A3C1D9-14EC-4C2E-808A-52A11BCC50FB}"/>
    <cellStyle name="Standard 18 17" xfId="8021" xr:uid="{9CF66D21-E2A7-45DE-85E4-611CA08DC74E}"/>
    <cellStyle name="Standard 18 17 2" xfId="8022" xr:uid="{05487B00-D6D1-4B9D-BC7B-CB3CB0BE7B3A}"/>
    <cellStyle name="Standard 18 18" xfId="8023" xr:uid="{FE1DCBC9-6C86-4D48-9F5F-C4AAF5DF62E6}"/>
    <cellStyle name="Standard 18 18 2" xfId="8024" xr:uid="{267637BC-D1F0-47CE-BA50-4CF77F85CCD9}"/>
    <cellStyle name="Standard 18 19" xfId="8025" xr:uid="{85139C2D-96E5-4919-AD0F-E2A9C1CB8A2E}"/>
    <cellStyle name="Standard 18 19 2" xfId="8026" xr:uid="{84923552-719A-4536-808B-CB6901AC5197}"/>
    <cellStyle name="Standard 18 2" xfId="8027" xr:uid="{D2E498CE-A815-45FF-9527-03B8860C63EB}"/>
    <cellStyle name="Standard 18 2 2" xfId="8028" xr:uid="{D9836A99-115C-4C5C-9946-39F148709EC4}"/>
    <cellStyle name="Standard 18 20" xfId="8029" xr:uid="{906D9F4A-66ED-45D9-A9AB-9A4353F705AF}"/>
    <cellStyle name="Standard 18 20 2" xfId="8030" xr:uid="{9A4D0637-89DF-474F-821F-D63612CF46F3}"/>
    <cellStyle name="Standard 18 21" xfId="8031" xr:uid="{5D90574E-BAD0-4C8E-B0D6-B58CF09179F3}"/>
    <cellStyle name="Standard 18 21 2" xfId="8032" xr:uid="{A4C79012-739C-4DD0-A718-4E2E535C3A83}"/>
    <cellStyle name="Standard 18 22" xfId="8033" xr:uid="{61518F62-B8E1-4BD4-BEFE-882CF6CBB1D6}"/>
    <cellStyle name="Standard 18 22 2" xfId="8034" xr:uid="{05CCE6DA-B3F7-4FD7-87A8-D9A92E132F3F}"/>
    <cellStyle name="Standard 18 23" xfId="8035" xr:uid="{C1B29C67-AD19-4D39-9B07-46DA595F8B54}"/>
    <cellStyle name="Standard 18 23 2" xfId="8036" xr:uid="{90C552C3-8D6D-442C-86C6-B30A65364B83}"/>
    <cellStyle name="Standard 18 24" xfId="8037" xr:uid="{D3C4D4BE-1272-41E0-9BF4-A3D3090766ED}"/>
    <cellStyle name="Standard 18 24 2" xfId="8038" xr:uid="{5413DEE6-2F0C-49C2-8089-A5767490FF99}"/>
    <cellStyle name="Standard 18 25" xfId="8039" xr:uid="{36182583-0A79-426B-8B95-3B9AC59670C5}"/>
    <cellStyle name="Standard 18 25 2" xfId="8040" xr:uid="{70DF6723-6F7B-4673-95C7-7A310E27CD59}"/>
    <cellStyle name="Standard 18 25 3" xfId="8041" xr:uid="{C9C5AD3E-9208-49CB-97F9-CF8124D9554D}"/>
    <cellStyle name="Standard 18 26" xfId="8042" xr:uid="{F0A99A33-98EA-495F-AAF0-01E2A513350A}"/>
    <cellStyle name="Standard 18 3" xfId="8043" xr:uid="{03F8B472-3DCE-495F-B228-6ED5D3EEA14F}"/>
    <cellStyle name="Standard 18 3 2" xfId="8044" xr:uid="{F15B7EA5-6637-4B07-BC64-12E6563B99CF}"/>
    <cellStyle name="Standard 18 4" xfId="8045" xr:uid="{2B9AA48F-C689-46DE-AEEE-9F1FAAAAEB21}"/>
    <cellStyle name="Standard 18 4 2" xfId="8046" xr:uid="{B3AD9F9C-FCCE-4CDD-BC3A-A459899E3574}"/>
    <cellStyle name="Standard 18 5" xfId="8047" xr:uid="{64303007-5606-4E6C-BB7D-1EB38280A26F}"/>
    <cellStyle name="Standard 18 5 2" xfId="8048" xr:uid="{A18D6EFF-CBB7-4356-BB7F-2A442F522854}"/>
    <cellStyle name="Standard 18 6" xfId="8049" xr:uid="{65FAFE92-B4F0-4584-B56C-9E250BCD4950}"/>
    <cellStyle name="Standard 18 6 2" xfId="8050" xr:uid="{D0BF32C4-158D-4087-8A64-84A8E2769630}"/>
    <cellStyle name="Standard 18 7" xfId="8051" xr:uid="{8A6CCF61-89BD-41BB-81F6-0F780A0CEE18}"/>
    <cellStyle name="Standard 18 7 2" xfId="8052" xr:uid="{DCCB3CE6-7DE6-4BCA-931C-1AE901B989A4}"/>
    <cellStyle name="Standard 18 8" xfId="8053" xr:uid="{41CE7A19-0C82-4349-8A7C-C0A4C40702B8}"/>
    <cellStyle name="Standard 18 8 2" xfId="8054" xr:uid="{30B5CE8B-99D8-4CBE-B456-0C47406AF32A}"/>
    <cellStyle name="Standard 18 9" xfId="8055" xr:uid="{4F139045-9E52-4666-B111-4AD4DF4A3B8C}"/>
    <cellStyle name="Standard 18 9 2" xfId="8056" xr:uid="{2B1FC7F0-B327-48B6-97AC-443C512393F2}"/>
    <cellStyle name="Standard 19" xfId="8057" xr:uid="{D32B7D91-6A7C-41FB-88CB-E65AC2989201}"/>
    <cellStyle name="Standard 19 2" xfId="8058" xr:uid="{09AF4F10-D400-4793-9437-CB57995E62CF}"/>
    <cellStyle name="Standard 2" xfId="8059" xr:uid="{6E3C9627-4219-41EA-9F02-B6630C0AB541}"/>
    <cellStyle name="Standard 2 2" xfId="8060" xr:uid="{DC3154CE-839F-4D67-A2B3-4E10E673D1EF}"/>
    <cellStyle name="Standard 2 2 2" xfId="9356" xr:uid="{C2FD6447-C8A6-473C-96E2-651E7A97BD61}"/>
    <cellStyle name="Standard 2 3" xfId="8061" xr:uid="{52E3BA9F-545E-49D7-822C-973667633245}"/>
    <cellStyle name="Standard 2 4" xfId="8062" xr:uid="{028F0540-AA27-4A33-A320-F56CAD586C8E}"/>
    <cellStyle name="Standard 2 5" xfId="9201" xr:uid="{BDB4A193-9E1A-45EF-B816-19D7993178C3}"/>
    <cellStyle name="Standard 2 6" xfId="9355" xr:uid="{2B31ACB0-03DB-44C0-88A1-B979043F12E9}"/>
    <cellStyle name="Standard 20" xfId="8063" xr:uid="{3779C46E-395C-48E6-8555-8EB838606ED2}"/>
    <cellStyle name="Standard 20 2" xfId="8064" xr:uid="{77B8E308-577B-4809-AAE6-2FC503EC4D2B}"/>
    <cellStyle name="Standard 21" xfId="8065" xr:uid="{2A324BA5-63D9-4A72-8BD6-65CEDF9D677E}"/>
    <cellStyle name="Standard 21 2" xfId="8066" xr:uid="{E3205AB3-BE6D-48EA-97DA-530231773727}"/>
    <cellStyle name="Standard 22" xfId="8067" xr:uid="{9E7EBFC1-2300-4339-A690-8C1F798BF5F5}"/>
    <cellStyle name="Standard 22 2" xfId="8068" xr:uid="{4F63DEC3-B2F3-4C53-BAEC-81F00C845FA0}"/>
    <cellStyle name="Standard 23" xfId="8069" xr:uid="{017D21C0-47E1-48F5-8786-C3DD8605C6D7}"/>
    <cellStyle name="Standard 23 2" xfId="8070" xr:uid="{7E9C886A-BD95-42F0-91FE-57A1CC535B0D}"/>
    <cellStyle name="Standard 24" xfId="8071" xr:uid="{CB2C8FF0-D606-4E21-82C8-CBDA2B52FC07}"/>
    <cellStyle name="Standard 24 2" xfId="8072" xr:uid="{9D73A6DA-1F4B-4ABB-BE93-CB5C87146A0B}"/>
    <cellStyle name="Standard 25" xfId="8073" xr:uid="{5944399E-66C1-4D65-89DA-5419EA787373}"/>
    <cellStyle name="Standard 25 2" xfId="8074" xr:uid="{8D231D9C-60B5-4F1F-846C-2F2AE27805C0}"/>
    <cellStyle name="Standard 26" xfId="8075" xr:uid="{54A6A2F5-7E51-4B28-B32D-1A01F522D026}"/>
    <cellStyle name="Standard 26 2" xfId="8076" xr:uid="{1A630EB8-A5EF-4438-B27E-D0B4728BE978}"/>
    <cellStyle name="Standard 27" xfId="8077" xr:uid="{161B9563-5428-4C2B-B1F3-E56D0427D947}"/>
    <cellStyle name="Standard 27 2" xfId="8078" xr:uid="{7F294EEB-C596-42AD-A99E-4113F8175768}"/>
    <cellStyle name="Standard 28" xfId="8079" xr:uid="{B2D3AB45-409E-40E1-84E8-F6A16B78ADA0}"/>
    <cellStyle name="Standard 28 2" xfId="8080" xr:uid="{0AB0748E-F8C0-47EC-8C91-520C5A7DBE98}"/>
    <cellStyle name="Standard 29" xfId="8081" xr:uid="{6441902B-4D83-4971-A52B-3D4EB1B11E53}"/>
    <cellStyle name="Standard 29 2" xfId="8082" xr:uid="{E5490E7C-24EC-4D08-8E27-B64873375FD9}"/>
    <cellStyle name="Standard 3" xfId="8083" xr:uid="{F8DA02B9-576C-47A0-9E50-A9D2B7AB1C06}"/>
    <cellStyle name="Standard 3 2" xfId="8084" xr:uid="{C5609959-5D6B-489B-8EB4-F55B3FD46C32}"/>
    <cellStyle name="Standard 3 2 2" xfId="9142" xr:uid="{4959C561-7A29-4A4F-A7AA-086F6F21785B}"/>
    <cellStyle name="Standard 3 2 2 2" xfId="9143" xr:uid="{542F8C70-7DE2-43F6-9A96-C76C97C44F2C}"/>
    <cellStyle name="Standard 3 2 2 3" xfId="9262" xr:uid="{6D04A203-63D6-4746-AB1F-B1B87C208174}"/>
    <cellStyle name="Standard 3 2 3" xfId="9144" xr:uid="{E3C2E2D5-C79D-4C47-8B9C-4207EBC958C4}"/>
    <cellStyle name="Standard 3 2 3 2" xfId="9301" xr:uid="{2CC85903-7897-4AE2-8815-C35815E80F7D}"/>
    <cellStyle name="Standard 3 2 4" xfId="9145" xr:uid="{7C30BE1A-959E-4194-A1F3-1DF2DDEC6ADD}"/>
    <cellStyle name="Standard 3 2 4 2" xfId="9331" xr:uid="{A5A2281F-1D16-4319-8D33-72C50CF49435}"/>
    <cellStyle name="Standard 3 2 5" xfId="9146" xr:uid="{5605D7E5-DABC-4EAA-A8A8-6A870E2CF206}"/>
    <cellStyle name="Standard 3 2 6" xfId="9231" xr:uid="{4E7D1248-4881-4929-9CB9-AF3B298791F8}"/>
    <cellStyle name="Standard 3 3" xfId="9147" xr:uid="{2B43A60D-BE4A-4C86-A27A-ACE329A60DCC}"/>
    <cellStyle name="Standard 3 3 2" xfId="9148" xr:uid="{17094E25-0FC4-459B-B62E-58EC72E60838}"/>
    <cellStyle name="Standard 3 3 2 2" xfId="9149" xr:uid="{217CB316-55DB-4167-81A4-AE781A0A69D1}"/>
    <cellStyle name="Standard 3 3 2 3" xfId="9263" xr:uid="{10D3FD2E-BE40-4905-A676-40E0AA9DF748}"/>
    <cellStyle name="Standard 3 3 3" xfId="9150" xr:uid="{C774D26A-BBCA-44B3-AEFF-440FDD20FD8C}"/>
    <cellStyle name="Standard 3 3 3 2" xfId="9291" xr:uid="{627569A7-D290-4021-8ECF-00A8A1121B6A}"/>
    <cellStyle name="Standard 3 3 4" xfId="9151" xr:uid="{3840E080-4AE3-4F96-A734-F7D32015885E}"/>
    <cellStyle name="Standard 3 3 4 2" xfId="9321" xr:uid="{45DD2C4F-1C58-4CE7-9E22-0CA19A2B6C43}"/>
    <cellStyle name="Standard 3 3 5" xfId="9152" xr:uid="{A090BCED-BDFA-4019-96FA-761A5AB6F59C}"/>
    <cellStyle name="Standard 3 3 6" xfId="9221" xr:uid="{1DABCDB0-FCCB-4931-94A1-F0783B83CD96}"/>
    <cellStyle name="Standard 3 4" xfId="9153" xr:uid="{293C1512-49D9-442C-BD6D-1C6E6B7A43B6}"/>
    <cellStyle name="Standard 3 4 2" xfId="9154" xr:uid="{0220FB6A-2414-42F7-A03B-8053D8D6CA40}"/>
    <cellStyle name="Standard 3 4 3" xfId="9264" xr:uid="{88DEAC67-AD96-4E80-B228-717C9A8CB145}"/>
    <cellStyle name="Standard 3 5" xfId="9155" xr:uid="{ECB9AB04-3C99-45A3-AF1A-71CA60D97C35}"/>
    <cellStyle name="Standard 3 5 2" xfId="9156" xr:uid="{A4ECFC88-5314-4C87-A739-FC898DA77266}"/>
    <cellStyle name="Standard 3 5 3" xfId="9265" xr:uid="{8E1D3F09-D230-4C50-8C56-98D6284FBFD5}"/>
    <cellStyle name="Standard 3 6" xfId="9157" xr:uid="{9EF8EC08-FDDC-4DA0-80EA-2D69AFDB442A}"/>
    <cellStyle name="Standard 3 6 2" xfId="9281" xr:uid="{A3FA0C73-41AE-4BF2-B426-3043B7EF9368}"/>
    <cellStyle name="Standard 3 7" xfId="9158" xr:uid="{345A4D47-BB4B-41C6-8519-9E9B2B4E893C}"/>
    <cellStyle name="Standard 3 7 2" xfId="9311" xr:uid="{6063EC67-0B4E-4D68-8786-24682C3C00DC}"/>
    <cellStyle name="Standard 3 8" xfId="9159" xr:uid="{7C96BC7A-7043-4A97-852A-14F3E55CC24D}"/>
    <cellStyle name="Standard 3 9" xfId="9211" xr:uid="{391B1860-45D8-4E90-AF0C-827E2B1E23BB}"/>
    <cellStyle name="Standard 30" xfId="8085" xr:uid="{6C4AC11C-79DF-4F00-A727-CA33F9DE0C85}"/>
    <cellStyle name="Standard 30 2" xfId="8086" xr:uid="{2C84BE4A-AA4B-40E6-87AF-11CF52274555}"/>
    <cellStyle name="Standard 31" xfId="8087" xr:uid="{660295F9-ABDB-4737-B466-4DA50A4F1858}"/>
    <cellStyle name="Standard 31 2" xfId="8088" xr:uid="{57AE853A-05FE-485E-90BF-EF42A1DABCA2}"/>
    <cellStyle name="Standard 32" xfId="8089" xr:uid="{FAFEA0C1-2E61-4597-99F1-213FE7FA720A}"/>
    <cellStyle name="Standard 32 2" xfId="8090" xr:uid="{6AE6F07D-17EA-4360-8456-E637BDD79E6B}"/>
    <cellStyle name="Standard 33" xfId="8091" xr:uid="{B00B58FE-AC31-4AB2-B21B-46BF7AB77E1F}"/>
    <cellStyle name="Standard 33 2" xfId="8092" xr:uid="{A9FBD5A0-19CE-4D31-B529-F5AF0E6CBF43}"/>
    <cellStyle name="Standard 34" xfId="8093" xr:uid="{14A54E53-637F-47CA-9F33-D7F04A3C75A3}"/>
    <cellStyle name="Standard 34 2" xfId="8094" xr:uid="{37D2E80D-0972-4F9D-85CB-14357CD8D9CA}"/>
    <cellStyle name="Standard 35" xfId="8095" xr:uid="{4074D2D0-1AC8-448A-AB28-56ABFD32E15F}"/>
    <cellStyle name="Standard 35 2" xfId="8096" xr:uid="{C4D10DD1-38E0-47F4-8FA5-AAD62454E733}"/>
    <cellStyle name="Standard 36" xfId="8097" xr:uid="{42800C44-CDAD-43EA-AA6C-6B830D2D74C7}"/>
    <cellStyle name="Standard 36 2" xfId="8098" xr:uid="{37B53235-0A1C-4F47-A169-D07D5D9DD026}"/>
    <cellStyle name="Standard 37" xfId="8099" xr:uid="{8F525124-6B11-4D7F-8E01-79C8C3C9A3E2}"/>
    <cellStyle name="Standard 37 2" xfId="8100" xr:uid="{CD993F8B-29C3-4210-9B62-B624F637BD5A}"/>
    <cellStyle name="Standard 38" xfId="8101" xr:uid="{3771E104-C308-488C-B6BA-FDBEF5830DE0}"/>
    <cellStyle name="Standard 38 2" xfId="8102" xr:uid="{EDB53636-3B60-4E74-BF33-EFCF1187CD2D}"/>
    <cellStyle name="Standard 39" xfId="8103" xr:uid="{2A9958F9-00EF-4D93-A686-59E823DA0815}"/>
    <cellStyle name="Standard 39 2" xfId="8104" xr:uid="{F6E7669F-1D79-4AFB-9B6E-E2362A21A58E}"/>
    <cellStyle name="Standard 4" xfId="8105" xr:uid="{564B644E-1033-4B14-951D-0646ACF4D9FE}"/>
    <cellStyle name="Standard 4 10" xfId="9357" xr:uid="{E1175EFE-F297-4870-A3D6-9B44A7DE6B18}"/>
    <cellStyle name="Standard 4 2" xfId="8106" xr:uid="{8F7EA0EC-D113-49AB-9290-74B2D71C2370}"/>
    <cellStyle name="Standard 4 2 2" xfId="9160" xr:uid="{DFA56BC2-7999-45F3-9596-EED312E7C884}"/>
    <cellStyle name="Standard 4 2 2 2" xfId="9161" xr:uid="{41A2F029-2F89-4F7B-88DD-A21DE306413E}"/>
    <cellStyle name="Standard 4 2 2 3" xfId="9266" xr:uid="{10DDA1A7-CD49-4948-9CD2-9B0E593DF0F4}"/>
    <cellStyle name="Standard 4 2 3" xfId="9162" xr:uid="{8C767658-5BE5-424D-918C-5B6A202C1F16}"/>
    <cellStyle name="Standard 4 2 3 2" xfId="9302" xr:uid="{B9C4BAE6-903D-42B3-90AC-6664792FA08C}"/>
    <cellStyle name="Standard 4 2 4" xfId="9163" xr:uid="{1B5B36EB-1C3C-4E09-98F4-197D38EB4137}"/>
    <cellStyle name="Standard 4 2 4 2" xfId="9332" xr:uid="{9AF93C85-7031-45AC-9086-E989968CC2F3}"/>
    <cellStyle name="Standard 4 2 5" xfId="9164" xr:uid="{A4FB9E75-19F6-44DF-A8C0-07B7A188F028}"/>
    <cellStyle name="Standard 4 2 6" xfId="9232" xr:uid="{FFCDF7B9-C476-4914-ABD6-E9D21874AA88}"/>
    <cellStyle name="Standard 4 3" xfId="8107" xr:uid="{3DC8A037-C6DF-4414-ABE9-313CD382BC64}"/>
    <cellStyle name="Standard 4 3 2" xfId="8108" xr:uid="{EE90D12A-6E8E-4CDE-AE7D-6DA2BC997C7A}"/>
    <cellStyle name="Standard 4 3 2 2" xfId="9165" xr:uid="{30DAC3A7-5760-46C1-BD63-FFAE49DE445B}"/>
    <cellStyle name="Standard 4 3 2 3" xfId="9267" xr:uid="{160EC56B-9EBF-4966-BEB0-E0AD4944C898}"/>
    <cellStyle name="Standard 4 3 3" xfId="9166" xr:uid="{0EF8D9BA-9D65-4C45-A2A3-DC65D9B21B32}"/>
    <cellStyle name="Standard 4 3 3 2" xfId="9292" xr:uid="{600F2285-3F86-4EF7-828C-CE0E418D3915}"/>
    <cellStyle name="Standard 4 3 4" xfId="9167" xr:uid="{FB46E075-1AE9-4FF2-9D20-813F316BB11B}"/>
    <cellStyle name="Standard 4 3 4 2" xfId="9322" xr:uid="{64818026-7128-472A-BEF7-00310B608BF9}"/>
    <cellStyle name="Standard 4 3 5" xfId="9168" xr:uid="{19DC134B-A955-45BE-9964-146CC2F3848D}"/>
    <cellStyle name="Standard 4 3 6" xfId="9222" xr:uid="{81870455-7EB0-4CD4-9EA7-262855EE299C}"/>
    <cellStyle name="Standard 4 4" xfId="8109" xr:uid="{6EDAFB02-C74D-4869-B72E-2BFD424361C6}"/>
    <cellStyle name="Standard 4 4 2" xfId="9169" xr:uid="{A99A1757-21AA-4FFB-8A93-77CE0B9B2E98}"/>
    <cellStyle name="Standard 4 4 3" xfId="9268" xr:uid="{FEAE25DC-D956-422B-89D6-099ECAC0A63F}"/>
    <cellStyle name="Standard 4 5" xfId="8110" xr:uid="{CC2B449E-FF07-4BF4-9530-539C0DB81DDA}"/>
    <cellStyle name="Standard 4 5 2" xfId="9170" xr:uid="{C23565D5-70B0-4CD0-976D-1B6C41CD4967}"/>
    <cellStyle name="Standard 4 5 3" xfId="9269" xr:uid="{28B7E369-C349-452A-BEE1-FC30BA86FAEB}"/>
    <cellStyle name="Standard 4 6" xfId="9171" xr:uid="{79D50108-A178-494D-A47D-64AB94B93FAA}"/>
    <cellStyle name="Standard 4 6 2" xfId="9282" xr:uid="{CA7E11C4-B75A-4D38-95C7-7C66560738F5}"/>
    <cellStyle name="Standard 4 7" xfId="9172" xr:uid="{FEF30CE0-ADF5-4C4F-8595-0A3FFD9487E4}"/>
    <cellStyle name="Standard 4 7 2" xfId="9312" xr:uid="{F08DAC6E-A4EF-4C35-9686-C432639D7B28}"/>
    <cellStyle name="Standard 4 8" xfId="9173" xr:uid="{4A974931-240A-4DF9-ADA0-490E8E85E39B}"/>
    <cellStyle name="Standard 4 9" xfId="9212" xr:uid="{DECB89DA-80A8-448F-8489-87C3DBE73F0E}"/>
    <cellStyle name="Standard 4_bearbeiteter CAP SHG111" xfId="8111" xr:uid="{4AFBDFFF-0E13-4259-BB76-9CFAC52D3180}"/>
    <cellStyle name="Standard 40" xfId="8112" xr:uid="{29C70BA3-1FE5-4279-8B8C-9403A49B4E39}"/>
    <cellStyle name="Standard 40 2" xfId="8113" xr:uid="{DBB1362C-8641-4A13-8545-51A0FB2B857B}"/>
    <cellStyle name="Standard 41" xfId="8114" xr:uid="{E0CC7DED-51B5-4E00-91E7-6180E96624E8}"/>
    <cellStyle name="Standard 41 2" xfId="8115" xr:uid="{B86405C4-076E-4CD0-9967-F708E330FC81}"/>
    <cellStyle name="Standard 42" xfId="8116" xr:uid="{76D6EB2E-7410-4A3A-880E-29E49C61D6E3}"/>
    <cellStyle name="Standard 42 2" xfId="8117" xr:uid="{E6D9C0D4-1408-41B1-89DA-9E154E43E8BE}"/>
    <cellStyle name="Standard 43" xfId="8118" xr:uid="{39A84468-EBC8-4418-9BF6-FEDC66744181}"/>
    <cellStyle name="Standard 43 2" xfId="8119" xr:uid="{2BF2307C-A1BB-4338-93A8-0B332BC545F9}"/>
    <cellStyle name="Standard 44" xfId="8120" xr:uid="{9C92922F-52F2-4721-B2D7-9C5E77FFA921}"/>
    <cellStyle name="Standard 44 2" xfId="8121" xr:uid="{A057F531-71B7-411E-84B5-4B7BDF193049}"/>
    <cellStyle name="Standard 45" xfId="8122" xr:uid="{79984D08-7FE5-44F6-80A1-0FBFA4BEB33F}"/>
    <cellStyle name="Standard 45 2" xfId="8123" xr:uid="{B418AA39-5A65-481B-895C-3E3D6889B01D}"/>
    <cellStyle name="Standard 46" xfId="8124" xr:uid="{31124628-8C49-43EA-998A-3165B38F9018}"/>
    <cellStyle name="Standard 46 2" xfId="8125" xr:uid="{4E705C41-161D-4AED-BB2B-2DEB675D6384}"/>
    <cellStyle name="Standard 47" xfId="8126" xr:uid="{15B32544-F1E2-49B9-A2F8-4FF748D6F63B}"/>
    <cellStyle name="Standard 47 2" xfId="8127" xr:uid="{BBB06661-59E5-42F9-8159-6557E23D72F2}"/>
    <cellStyle name="Standard 48" xfId="8128" xr:uid="{816FC1AA-3ECD-413A-B9F9-EF2D46ED71D4}"/>
    <cellStyle name="Standard 48 2" xfId="8129" xr:uid="{D7CBFB55-A1A0-4647-ACD7-C4F3B8F6FD54}"/>
    <cellStyle name="Standard 49" xfId="8130" xr:uid="{EAE0FD4A-EDAB-419B-AC98-625277C26498}"/>
    <cellStyle name="Standard 49 2" xfId="8131" xr:uid="{BBEC8B15-99FA-4E95-895D-F905E62500B6}"/>
    <cellStyle name="Standard 5" xfId="8132" xr:uid="{8A994ACB-C72B-44B5-A35E-608D2A6D710C}"/>
    <cellStyle name="Standard 5 2" xfId="8133" xr:uid="{3BBF7081-70F6-4CE8-876E-CBD1E17D0C57}"/>
    <cellStyle name="Standard 5 2 2" xfId="8134" xr:uid="{C37D1E51-F37B-4BC1-AE8A-784DF2615D5D}"/>
    <cellStyle name="Standard 5 3" xfId="8135" xr:uid="{5B5321F7-6ACD-4CC4-B9D0-1F4B10A80C66}"/>
    <cellStyle name="Standard 5_bearbeiteter CAP SHG111" xfId="8136" xr:uid="{72323B46-EF1E-4B95-917C-5FBA609FFB61}"/>
    <cellStyle name="Standard 50" xfId="8137" xr:uid="{E225F8EE-27A9-4AEE-8D5D-2E7DDF3042D3}"/>
    <cellStyle name="Standard 51" xfId="8138" xr:uid="{56B52ACE-D0D4-40CD-93E8-B6CDA62B394C}"/>
    <cellStyle name="Standard 52" xfId="8139" xr:uid="{7D4F74D2-7FB4-496C-9BE6-BC2CC0216D04}"/>
    <cellStyle name="Standard 53" xfId="8140" xr:uid="{C44BE183-A207-4C47-9B97-803D6939232B}"/>
    <cellStyle name="Standard 54" xfId="8141" xr:uid="{4F7073DF-F65F-4AC8-8079-D48A44F5CCE0}"/>
    <cellStyle name="Standard 55" xfId="8142" xr:uid="{EA088B57-00E3-4DBE-888C-D60CF26D7E08}"/>
    <cellStyle name="Standard 56" xfId="8143" xr:uid="{149F654C-6F97-40FC-B971-1BB74D8C44B3}"/>
    <cellStyle name="Standard 57" xfId="8144" xr:uid="{52458906-DF9F-4409-BA83-EEA6ECB1EFA9}"/>
    <cellStyle name="Standard 58" xfId="8145" xr:uid="{97AF7A2F-132F-41F3-8B18-D7D556FE89F9}"/>
    <cellStyle name="Standard 59" xfId="8146" xr:uid="{556F76C1-039D-46F1-9DAB-25708C639A4A}"/>
    <cellStyle name="Standard 6" xfId="8147" xr:uid="{C0436321-301E-4764-89C9-609E810DFD8C}"/>
    <cellStyle name="Standard 6 2" xfId="8148" xr:uid="{D00451C9-95B6-49A5-9328-A32AB58F7C2A}"/>
    <cellStyle name="Standard 60" xfId="8149" xr:uid="{720E8792-2159-4874-9EE1-CE0052BEC4FA}"/>
    <cellStyle name="Standard 61" xfId="8150" xr:uid="{A3F46E98-751D-4075-8B3B-619E13A58341}"/>
    <cellStyle name="Standard 62" xfId="8151" xr:uid="{CCBBD464-FC1E-4A2D-BB5F-B6FAF0C3D973}"/>
    <cellStyle name="Standard 63" xfId="8152" xr:uid="{D4F00BDE-161C-42AE-B31F-BCF8FD919271}"/>
    <cellStyle name="Standard 64" xfId="8153" xr:uid="{44529421-C776-4EF1-8D15-E2E43ACC7651}"/>
    <cellStyle name="Standard 65" xfId="8154" xr:uid="{806A9B4A-36D4-4B12-9361-6D3166E72B03}"/>
    <cellStyle name="Standard 66" xfId="8155" xr:uid="{338C1C62-4A00-435C-8F50-B49EC8599BB4}"/>
    <cellStyle name="Standard 67" xfId="8156" xr:uid="{6AC760D5-46AE-4EF3-AD0E-0E2DF14C6E8C}"/>
    <cellStyle name="Standard 68" xfId="8157" xr:uid="{1EACA915-3A1A-407C-BAC2-21A670EA7257}"/>
    <cellStyle name="Standard 69" xfId="8158" xr:uid="{94BA73D3-04BA-49A4-BAA2-2D23C8800FEB}"/>
    <cellStyle name="Standard 7" xfId="8159" xr:uid="{D977E299-B18D-4EBB-AE79-DB0C39022183}"/>
    <cellStyle name="Standard 7 2" xfId="8160" xr:uid="{C736DB44-BC60-433C-9BD1-D4B747F20954}"/>
    <cellStyle name="Standard 7 2 2" xfId="8161" xr:uid="{FEEC45F5-9464-4D70-BF75-AEBB2ACD768C}"/>
    <cellStyle name="Standard 7 3" xfId="8162" xr:uid="{208C114B-8867-4BDB-A51B-AA1DFC8F61E8}"/>
    <cellStyle name="Standard 70" xfId="8163" xr:uid="{7D1AAE39-31C6-40D4-9AF0-3C2769D0BA1A}"/>
    <cellStyle name="Standard 71" xfId="8164" xr:uid="{A1A4B083-C4FC-4BB3-97FE-B03FEBF709ED}"/>
    <cellStyle name="Standard 72" xfId="8165" xr:uid="{0D395C90-A2AE-4B70-808C-6E6A6FDBD150}"/>
    <cellStyle name="Standard 73" xfId="8166" xr:uid="{03CA6489-C40E-4666-BABE-4BE220AB1B12}"/>
    <cellStyle name="Standard 74" xfId="8167" xr:uid="{28E19856-A342-479A-B634-2EC971E172AD}"/>
    <cellStyle name="Standard 75" xfId="8168" xr:uid="{52E8132D-7149-4F9B-AC59-46B076C406AE}"/>
    <cellStyle name="Standard 76" xfId="8169" xr:uid="{FE046014-4B95-42FC-995D-EE16EDD4D1F7}"/>
    <cellStyle name="Standard 77" xfId="8170" xr:uid="{0DC32C74-ED39-458C-AB0A-AE81D2D58D3E}"/>
    <cellStyle name="Standard 78" xfId="8171" xr:uid="{863A638B-323F-48D3-A0D5-2A6E82A709C3}"/>
    <cellStyle name="Standard 79" xfId="8172" xr:uid="{151B5F20-C7C3-4464-BD5E-4A7912D746CE}"/>
    <cellStyle name="Standard 8" xfId="8173" xr:uid="{44586E13-848A-42B6-BD2E-B73036A0F85F}"/>
    <cellStyle name="Standard 8 2" xfId="8174" xr:uid="{20BBA7BA-5A0C-4522-B957-E602E9BFFD60}"/>
    <cellStyle name="Standard 8 2 2" xfId="8175" xr:uid="{BE5D121A-222D-40F6-B185-2144E508AF46}"/>
    <cellStyle name="Standard 8 2 2 2" xfId="8176" xr:uid="{00F8D322-8870-457B-9CC1-3D84E32C4D60}"/>
    <cellStyle name="Standard 8 3" xfId="8177" xr:uid="{14B43636-BA5E-439B-88C7-70C0DA4436FB}"/>
    <cellStyle name="Standard 80" xfId="8178" xr:uid="{C2B4C364-B584-4DFD-BA57-DB7498DFC89F}"/>
    <cellStyle name="Standard 81" xfId="8179" xr:uid="{A593C3B5-2A11-4AEF-8B47-6ACC7F34FBEA}"/>
    <cellStyle name="Standard 9" xfId="8180" xr:uid="{4A9B5080-6B05-4C37-937F-13D2067D9085}"/>
    <cellStyle name="Standard 9 2" xfId="8181" xr:uid="{EB330FF3-250F-4298-A010-6FC74A9C9861}"/>
    <cellStyle name="Style 1000" xfId="117" xr:uid="{00000000-0005-0000-0000-00001D050000}"/>
    <cellStyle name="Style 1000 10" xfId="2804" xr:uid="{00000000-0005-0000-0000-00001E050000}"/>
    <cellStyle name="Style 1000 10 2" xfId="4693" xr:uid="{00000000-0005-0000-0000-00001F050000}"/>
    <cellStyle name="Style 1000 11" xfId="3041" xr:uid="{00000000-0005-0000-0000-000020050000}"/>
    <cellStyle name="Style 1000 11 2" xfId="4927" xr:uid="{00000000-0005-0000-0000-000021050000}"/>
    <cellStyle name="Style 1000 12" xfId="5163" xr:uid="{00000000-0005-0000-0000-000022050000}"/>
    <cellStyle name="Style 1000 12 2" xfId="6623" xr:uid="{00000000-0005-0000-0000-000022050000}"/>
    <cellStyle name="Style 1000 13" xfId="5627" xr:uid="{00000000-0005-0000-0000-000023050000}"/>
    <cellStyle name="Style 1000 13 2" xfId="7047" xr:uid="{00000000-0005-0000-0000-000023050000}"/>
    <cellStyle name="Style 1000 14" xfId="5746" xr:uid="{00000000-0005-0000-0000-000024050000}"/>
    <cellStyle name="Style 1000 14 2" xfId="7166" xr:uid="{00000000-0005-0000-0000-000024050000}"/>
    <cellStyle name="Style 1000 15" xfId="6237" xr:uid="{00000000-0005-0000-0000-000025050000}"/>
    <cellStyle name="Style 1000 15 2" xfId="7515" xr:uid="{00000000-0005-0000-0000-000025050000}"/>
    <cellStyle name="Style 1000 2" xfId="351" xr:uid="{00000000-0005-0000-0000-000026050000}"/>
    <cellStyle name="Style 1000 2 2" xfId="824" xr:uid="{00000000-0005-0000-0000-000027050000}"/>
    <cellStyle name="Style 1000 2 3" xfId="8182" xr:uid="{CFC6CBA7-C5CF-4F07-A480-A3013CF00F4B}"/>
    <cellStyle name="Style 1000 3" xfId="585" xr:uid="{00000000-0005-0000-0000-000028050000}"/>
    <cellStyle name="Style 1000 3 2" xfId="1058" xr:uid="{00000000-0005-0000-0000-000029050000}"/>
    <cellStyle name="Style 1000 3 3" xfId="8183" xr:uid="{CB8D316F-5ED9-471A-B46A-1BD119907DEF}"/>
    <cellStyle name="Style 1000 4" xfId="1298" xr:uid="{00000000-0005-0000-0000-00002A050000}"/>
    <cellStyle name="Style 1000 4 2" xfId="3282" xr:uid="{00000000-0005-0000-0000-00002B050000}"/>
    <cellStyle name="Style 1000 4 3" xfId="8184" xr:uid="{2157B258-E65E-49B7-9D95-AABE43103BB1}"/>
    <cellStyle name="Style 1000 5" xfId="1593" xr:uid="{00000000-0005-0000-0000-00002C050000}"/>
    <cellStyle name="Style 1000 5 2" xfId="3520" xr:uid="{00000000-0005-0000-0000-00002D050000}"/>
    <cellStyle name="Style 1000 6" xfId="1844" xr:uid="{00000000-0005-0000-0000-00002E050000}"/>
    <cellStyle name="Style 1000 6 2" xfId="3754" xr:uid="{00000000-0005-0000-0000-00002F050000}"/>
    <cellStyle name="Style 1000 7" xfId="2088" xr:uid="{00000000-0005-0000-0000-000030050000}"/>
    <cellStyle name="Style 1000 7 2" xfId="3989" xr:uid="{00000000-0005-0000-0000-000031050000}"/>
    <cellStyle name="Style 1000 8" xfId="2323" xr:uid="{00000000-0005-0000-0000-000032050000}"/>
    <cellStyle name="Style 1000 8 2" xfId="4224" xr:uid="{00000000-0005-0000-0000-000033050000}"/>
    <cellStyle name="Style 1000 9" xfId="2570" xr:uid="{00000000-0005-0000-0000-000034050000}"/>
    <cellStyle name="Style 1000 9 2" xfId="4459" xr:uid="{00000000-0005-0000-0000-000035050000}"/>
    <cellStyle name="Style 1001" xfId="118" xr:uid="{00000000-0005-0000-0000-000036050000}"/>
    <cellStyle name="Style 1001 10" xfId="2805" xr:uid="{00000000-0005-0000-0000-000037050000}"/>
    <cellStyle name="Style 1001 10 2" xfId="4694" xr:uid="{00000000-0005-0000-0000-000038050000}"/>
    <cellStyle name="Style 1001 11" xfId="3042" xr:uid="{00000000-0005-0000-0000-000039050000}"/>
    <cellStyle name="Style 1001 11 2" xfId="4928" xr:uid="{00000000-0005-0000-0000-00003A050000}"/>
    <cellStyle name="Style 1001 12" xfId="5164" xr:uid="{00000000-0005-0000-0000-00003B050000}"/>
    <cellStyle name="Style 1001 12 2" xfId="6624" xr:uid="{00000000-0005-0000-0000-00003B050000}"/>
    <cellStyle name="Style 1001 13" xfId="5628" xr:uid="{00000000-0005-0000-0000-00003C050000}"/>
    <cellStyle name="Style 1001 13 2" xfId="7048" xr:uid="{00000000-0005-0000-0000-00003C050000}"/>
    <cellStyle name="Style 1001 14" xfId="5747" xr:uid="{00000000-0005-0000-0000-00003D050000}"/>
    <cellStyle name="Style 1001 14 2" xfId="7167" xr:uid="{00000000-0005-0000-0000-00003D050000}"/>
    <cellStyle name="Style 1001 15" xfId="6238" xr:uid="{00000000-0005-0000-0000-00003E050000}"/>
    <cellStyle name="Style 1001 15 2" xfId="7516" xr:uid="{00000000-0005-0000-0000-00003E050000}"/>
    <cellStyle name="Style 1001 2" xfId="352" xr:uid="{00000000-0005-0000-0000-00003F050000}"/>
    <cellStyle name="Style 1001 2 2" xfId="825" xr:uid="{00000000-0005-0000-0000-000040050000}"/>
    <cellStyle name="Style 1001 2 3" xfId="8185" xr:uid="{429A4836-49BD-4CC7-9E80-01A813F7A956}"/>
    <cellStyle name="Style 1001 3" xfId="586" xr:uid="{00000000-0005-0000-0000-000041050000}"/>
    <cellStyle name="Style 1001 3 2" xfId="1059" xr:uid="{00000000-0005-0000-0000-000042050000}"/>
    <cellStyle name="Style 1001 3 3" xfId="8186" xr:uid="{39333565-C604-4B1D-B8E0-44DDB7773B59}"/>
    <cellStyle name="Style 1001 4" xfId="1299" xr:uid="{00000000-0005-0000-0000-000043050000}"/>
    <cellStyle name="Style 1001 4 2" xfId="3283" xr:uid="{00000000-0005-0000-0000-000044050000}"/>
    <cellStyle name="Style 1001 4 3" xfId="8187" xr:uid="{39263F10-E342-46D0-BC05-DF657392CF15}"/>
    <cellStyle name="Style 1001 5" xfId="1594" xr:uid="{00000000-0005-0000-0000-000045050000}"/>
    <cellStyle name="Style 1001 5 2" xfId="3521" xr:uid="{00000000-0005-0000-0000-000046050000}"/>
    <cellStyle name="Style 1001 6" xfId="1845" xr:uid="{00000000-0005-0000-0000-000047050000}"/>
    <cellStyle name="Style 1001 6 2" xfId="3755" xr:uid="{00000000-0005-0000-0000-000048050000}"/>
    <cellStyle name="Style 1001 7" xfId="2089" xr:uid="{00000000-0005-0000-0000-000049050000}"/>
    <cellStyle name="Style 1001 7 2" xfId="3990" xr:uid="{00000000-0005-0000-0000-00004A050000}"/>
    <cellStyle name="Style 1001 8" xfId="2324" xr:uid="{00000000-0005-0000-0000-00004B050000}"/>
    <cellStyle name="Style 1001 8 2" xfId="4225" xr:uid="{00000000-0005-0000-0000-00004C050000}"/>
    <cellStyle name="Style 1001 9" xfId="2571" xr:uid="{00000000-0005-0000-0000-00004D050000}"/>
    <cellStyle name="Style 1001 9 2" xfId="4460" xr:uid="{00000000-0005-0000-0000-00004E050000}"/>
    <cellStyle name="Style 1002" xfId="119" xr:uid="{00000000-0005-0000-0000-00004F050000}"/>
    <cellStyle name="Style 1002 10" xfId="2806" xr:uid="{00000000-0005-0000-0000-000050050000}"/>
    <cellStyle name="Style 1002 10 2" xfId="4695" xr:uid="{00000000-0005-0000-0000-000051050000}"/>
    <cellStyle name="Style 1002 11" xfId="3043" xr:uid="{00000000-0005-0000-0000-000052050000}"/>
    <cellStyle name="Style 1002 11 2" xfId="4929" xr:uid="{00000000-0005-0000-0000-000053050000}"/>
    <cellStyle name="Style 1002 12" xfId="5165" xr:uid="{00000000-0005-0000-0000-000054050000}"/>
    <cellStyle name="Style 1002 12 2" xfId="6625" xr:uid="{00000000-0005-0000-0000-000054050000}"/>
    <cellStyle name="Style 1002 13" xfId="5629" xr:uid="{00000000-0005-0000-0000-000055050000}"/>
    <cellStyle name="Style 1002 13 2" xfId="7049" xr:uid="{00000000-0005-0000-0000-000055050000}"/>
    <cellStyle name="Style 1002 14" xfId="5748" xr:uid="{00000000-0005-0000-0000-000056050000}"/>
    <cellStyle name="Style 1002 14 2" xfId="7168" xr:uid="{00000000-0005-0000-0000-000056050000}"/>
    <cellStyle name="Style 1002 15" xfId="6239" xr:uid="{00000000-0005-0000-0000-000057050000}"/>
    <cellStyle name="Style 1002 15 2" xfId="7517" xr:uid="{00000000-0005-0000-0000-000057050000}"/>
    <cellStyle name="Style 1002 2" xfId="353" xr:uid="{00000000-0005-0000-0000-000058050000}"/>
    <cellStyle name="Style 1002 2 2" xfId="826" xr:uid="{00000000-0005-0000-0000-000059050000}"/>
    <cellStyle name="Style 1002 2 3" xfId="8188" xr:uid="{184197FA-D40F-4890-826A-783622CF3FF5}"/>
    <cellStyle name="Style 1002 3" xfId="587" xr:uid="{00000000-0005-0000-0000-00005A050000}"/>
    <cellStyle name="Style 1002 3 2" xfId="1060" xr:uid="{00000000-0005-0000-0000-00005B050000}"/>
    <cellStyle name="Style 1002 3 3" xfId="8189" xr:uid="{4DE6BEFC-E935-4782-9415-94112300D024}"/>
    <cellStyle name="Style 1002 4" xfId="1300" xr:uid="{00000000-0005-0000-0000-00005C050000}"/>
    <cellStyle name="Style 1002 4 2" xfId="3284" xr:uid="{00000000-0005-0000-0000-00005D050000}"/>
    <cellStyle name="Style 1002 4 3" xfId="8190" xr:uid="{50561043-4252-47D1-9EC2-6F22BCA042AC}"/>
    <cellStyle name="Style 1002 5" xfId="1595" xr:uid="{00000000-0005-0000-0000-00005E050000}"/>
    <cellStyle name="Style 1002 5 2" xfId="3522" xr:uid="{00000000-0005-0000-0000-00005F050000}"/>
    <cellStyle name="Style 1002 6" xfId="1846" xr:uid="{00000000-0005-0000-0000-000060050000}"/>
    <cellStyle name="Style 1002 6 2" xfId="3756" xr:uid="{00000000-0005-0000-0000-000061050000}"/>
    <cellStyle name="Style 1002 7" xfId="2090" xr:uid="{00000000-0005-0000-0000-000062050000}"/>
    <cellStyle name="Style 1002 7 2" xfId="3991" xr:uid="{00000000-0005-0000-0000-000063050000}"/>
    <cellStyle name="Style 1002 8" xfId="2325" xr:uid="{00000000-0005-0000-0000-000064050000}"/>
    <cellStyle name="Style 1002 8 2" xfId="4226" xr:uid="{00000000-0005-0000-0000-000065050000}"/>
    <cellStyle name="Style 1002 9" xfId="2572" xr:uid="{00000000-0005-0000-0000-000066050000}"/>
    <cellStyle name="Style 1002 9 2" xfId="4461" xr:uid="{00000000-0005-0000-0000-000067050000}"/>
    <cellStyle name="Style 1003" xfId="120" xr:uid="{00000000-0005-0000-0000-000068050000}"/>
    <cellStyle name="Style 1003 10" xfId="2807" xr:uid="{00000000-0005-0000-0000-000069050000}"/>
    <cellStyle name="Style 1003 10 2" xfId="4696" xr:uid="{00000000-0005-0000-0000-00006A050000}"/>
    <cellStyle name="Style 1003 11" xfId="3044" xr:uid="{00000000-0005-0000-0000-00006B050000}"/>
    <cellStyle name="Style 1003 11 2" xfId="4930" xr:uid="{00000000-0005-0000-0000-00006C050000}"/>
    <cellStyle name="Style 1003 12" xfId="5166" xr:uid="{00000000-0005-0000-0000-00006D050000}"/>
    <cellStyle name="Style 1003 12 2" xfId="6626" xr:uid="{00000000-0005-0000-0000-00006D050000}"/>
    <cellStyle name="Style 1003 13" xfId="5630" xr:uid="{00000000-0005-0000-0000-00006E050000}"/>
    <cellStyle name="Style 1003 13 2" xfId="7050" xr:uid="{00000000-0005-0000-0000-00006E050000}"/>
    <cellStyle name="Style 1003 14" xfId="5749" xr:uid="{00000000-0005-0000-0000-00006F050000}"/>
    <cellStyle name="Style 1003 14 2" xfId="7169" xr:uid="{00000000-0005-0000-0000-00006F050000}"/>
    <cellStyle name="Style 1003 15" xfId="6240" xr:uid="{00000000-0005-0000-0000-000070050000}"/>
    <cellStyle name="Style 1003 15 2" xfId="7518" xr:uid="{00000000-0005-0000-0000-000070050000}"/>
    <cellStyle name="Style 1003 2" xfId="354" xr:uid="{00000000-0005-0000-0000-000071050000}"/>
    <cellStyle name="Style 1003 2 2" xfId="827" xr:uid="{00000000-0005-0000-0000-000072050000}"/>
    <cellStyle name="Style 1003 2 3" xfId="8191" xr:uid="{86276B2D-D5C9-4DF2-B717-AF98270B02AC}"/>
    <cellStyle name="Style 1003 3" xfId="588" xr:uid="{00000000-0005-0000-0000-000073050000}"/>
    <cellStyle name="Style 1003 3 2" xfId="1061" xr:uid="{00000000-0005-0000-0000-000074050000}"/>
    <cellStyle name="Style 1003 3 3" xfId="8192" xr:uid="{194FF491-46E9-4205-AD80-3D137117234B}"/>
    <cellStyle name="Style 1003 4" xfId="1301" xr:uid="{00000000-0005-0000-0000-000075050000}"/>
    <cellStyle name="Style 1003 4 2" xfId="3285" xr:uid="{00000000-0005-0000-0000-000076050000}"/>
    <cellStyle name="Style 1003 4 3" xfId="8193" xr:uid="{5592D35D-A9A4-4F6E-8DF3-635FD827A41D}"/>
    <cellStyle name="Style 1003 5" xfId="1596" xr:uid="{00000000-0005-0000-0000-000077050000}"/>
    <cellStyle name="Style 1003 5 2" xfId="3523" xr:uid="{00000000-0005-0000-0000-000078050000}"/>
    <cellStyle name="Style 1003 6" xfId="1847" xr:uid="{00000000-0005-0000-0000-000079050000}"/>
    <cellStyle name="Style 1003 6 2" xfId="3757" xr:uid="{00000000-0005-0000-0000-00007A050000}"/>
    <cellStyle name="Style 1003 7" xfId="2091" xr:uid="{00000000-0005-0000-0000-00007B050000}"/>
    <cellStyle name="Style 1003 7 2" xfId="3992" xr:uid="{00000000-0005-0000-0000-00007C050000}"/>
    <cellStyle name="Style 1003 8" xfId="2326" xr:uid="{00000000-0005-0000-0000-00007D050000}"/>
    <cellStyle name="Style 1003 8 2" xfId="4227" xr:uid="{00000000-0005-0000-0000-00007E050000}"/>
    <cellStyle name="Style 1003 9" xfId="2573" xr:uid="{00000000-0005-0000-0000-00007F050000}"/>
    <cellStyle name="Style 1003 9 2" xfId="4462" xr:uid="{00000000-0005-0000-0000-000080050000}"/>
    <cellStyle name="Style 1004" xfId="121" xr:uid="{00000000-0005-0000-0000-000081050000}"/>
    <cellStyle name="Style 1004 10" xfId="2808" xr:uid="{00000000-0005-0000-0000-000082050000}"/>
    <cellStyle name="Style 1004 10 2" xfId="4697" xr:uid="{00000000-0005-0000-0000-000083050000}"/>
    <cellStyle name="Style 1004 11" xfId="3045" xr:uid="{00000000-0005-0000-0000-000084050000}"/>
    <cellStyle name="Style 1004 11 2" xfId="4931" xr:uid="{00000000-0005-0000-0000-000085050000}"/>
    <cellStyle name="Style 1004 12" xfId="5167" xr:uid="{00000000-0005-0000-0000-000086050000}"/>
    <cellStyle name="Style 1004 12 2" xfId="6627" xr:uid="{00000000-0005-0000-0000-000086050000}"/>
    <cellStyle name="Style 1004 13" xfId="5631" xr:uid="{00000000-0005-0000-0000-000087050000}"/>
    <cellStyle name="Style 1004 13 2" xfId="7051" xr:uid="{00000000-0005-0000-0000-000087050000}"/>
    <cellStyle name="Style 1004 14" xfId="5750" xr:uid="{00000000-0005-0000-0000-000088050000}"/>
    <cellStyle name="Style 1004 14 2" xfId="7170" xr:uid="{00000000-0005-0000-0000-000088050000}"/>
    <cellStyle name="Style 1004 15" xfId="6241" xr:uid="{00000000-0005-0000-0000-000089050000}"/>
    <cellStyle name="Style 1004 15 2" xfId="7519" xr:uid="{00000000-0005-0000-0000-000089050000}"/>
    <cellStyle name="Style 1004 2" xfId="355" xr:uid="{00000000-0005-0000-0000-00008A050000}"/>
    <cellStyle name="Style 1004 2 2" xfId="828" xr:uid="{00000000-0005-0000-0000-00008B050000}"/>
    <cellStyle name="Style 1004 2 3" xfId="8194" xr:uid="{9418B954-5F55-471D-A583-8C3D8ACD65B8}"/>
    <cellStyle name="Style 1004 3" xfId="589" xr:uid="{00000000-0005-0000-0000-00008C050000}"/>
    <cellStyle name="Style 1004 3 2" xfId="1062" xr:uid="{00000000-0005-0000-0000-00008D050000}"/>
    <cellStyle name="Style 1004 3 3" xfId="8195" xr:uid="{B331518F-043F-472B-A20D-89B1AD5CBB6A}"/>
    <cellStyle name="Style 1004 4" xfId="1302" xr:uid="{00000000-0005-0000-0000-00008E050000}"/>
    <cellStyle name="Style 1004 4 2" xfId="3286" xr:uid="{00000000-0005-0000-0000-00008F050000}"/>
    <cellStyle name="Style 1004 4 3" xfId="8196" xr:uid="{97055880-9CCE-4B4A-BB72-FF8557CE03D8}"/>
    <cellStyle name="Style 1004 5" xfId="1597" xr:uid="{00000000-0005-0000-0000-000090050000}"/>
    <cellStyle name="Style 1004 5 2" xfId="3524" xr:uid="{00000000-0005-0000-0000-000091050000}"/>
    <cellStyle name="Style 1004 6" xfId="1848" xr:uid="{00000000-0005-0000-0000-000092050000}"/>
    <cellStyle name="Style 1004 6 2" xfId="3758" xr:uid="{00000000-0005-0000-0000-000093050000}"/>
    <cellStyle name="Style 1004 7" xfId="2092" xr:uid="{00000000-0005-0000-0000-000094050000}"/>
    <cellStyle name="Style 1004 7 2" xfId="3993" xr:uid="{00000000-0005-0000-0000-000095050000}"/>
    <cellStyle name="Style 1004 8" xfId="2327" xr:uid="{00000000-0005-0000-0000-000096050000}"/>
    <cellStyle name="Style 1004 8 2" xfId="4228" xr:uid="{00000000-0005-0000-0000-000097050000}"/>
    <cellStyle name="Style 1004 9" xfId="2574" xr:uid="{00000000-0005-0000-0000-000098050000}"/>
    <cellStyle name="Style 1004 9 2" xfId="4463" xr:uid="{00000000-0005-0000-0000-000099050000}"/>
    <cellStyle name="Style 1024" xfId="122" xr:uid="{00000000-0005-0000-0000-00009A050000}"/>
    <cellStyle name="Style 1024 10" xfId="2809" xr:uid="{00000000-0005-0000-0000-00009B050000}"/>
    <cellStyle name="Style 1024 10 2" xfId="4698" xr:uid="{00000000-0005-0000-0000-00009C050000}"/>
    <cellStyle name="Style 1024 11" xfId="3046" xr:uid="{00000000-0005-0000-0000-00009D050000}"/>
    <cellStyle name="Style 1024 11 2" xfId="4932" xr:uid="{00000000-0005-0000-0000-00009E050000}"/>
    <cellStyle name="Style 1024 12" xfId="5168" xr:uid="{00000000-0005-0000-0000-00009F050000}"/>
    <cellStyle name="Style 1024 12 2" xfId="6628" xr:uid="{00000000-0005-0000-0000-00009F050000}"/>
    <cellStyle name="Style 1024 13" xfId="5632" xr:uid="{00000000-0005-0000-0000-0000A0050000}"/>
    <cellStyle name="Style 1024 13 2" xfId="7052" xr:uid="{00000000-0005-0000-0000-0000A0050000}"/>
    <cellStyle name="Style 1024 14" xfId="5751" xr:uid="{00000000-0005-0000-0000-0000A1050000}"/>
    <cellStyle name="Style 1024 14 2" xfId="7171" xr:uid="{00000000-0005-0000-0000-0000A1050000}"/>
    <cellStyle name="Style 1024 15" xfId="6242" xr:uid="{00000000-0005-0000-0000-0000A2050000}"/>
    <cellStyle name="Style 1024 15 2" xfId="7520" xr:uid="{00000000-0005-0000-0000-0000A2050000}"/>
    <cellStyle name="Style 1024 2" xfId="356" xr:uid="{00000000-0005-0000-0000-0000A3050000}"/>
    <cellStyle name="Style 1024 2 2" xfId="829" xr:uid="{00000000-0005-0000-0000-0000A4050000}"/>
    <cellStyle name="Style 1024 2 3" xfId="8197" xr:uid="{11BC0B54-AA4C-4940-91EC-F2387068ACF1}"/>
    <cellStyle name="Style 1024 3" xfId="590" xr:uid="{00000000-0005-0000-0000-0000A5050000}"/>
    <cellStyle name="Style 1024 3 2" xfId="1063" xr:uid="{00000000-0005-0000-0000-0000A6050000}"/>
    <cellStyle name="Style 1024 3 3" xfId="8198" xr:uid="{C5547867-FE22-4E12-8B77-C2FCF741AFE5}"/>
    <cellStyle name="Style 1024 4" xfId="1303" xr:uid="{00000000-0005-0000-0000-0000A7050000}"/>
    <cellStyle name="Style 1024 4 2" xfId="3287" xr:uid="{00000000-0005-0000-0000-0000A8050000}"/>
    <cellStyle name="Style 1024 5" xfId="1598" xr:uid="{00000000-0005-0000-0000-0000A9050000}"/>
    <cellStyle name="Style 1024 5 2" xfId="3525" xr:uid="{00000000-0005-0000-0000-0000AA050000}"/>
    <cellStyle name="Style 1024 6" xfId="1849" xr:uid="{00000000-0005-0000-0000-0000AB050000}"/>
    <cellStyle name="Style 1024 6 2" xfId="3759" xr:uid="{00000000-0005-0000-0000-0000AC050000}"/>
    <cellStyle name="Style 1024 7" xfId="2093" xr:uid="{00000000-0005-0000-0000-0000AD050000}"/>
    <cellStyle name="Style 1024 7 2" xfId="3994" xr:uid="{00000000-0005-0000-0000-0000AE050000}"/>
    <cellStyle name="Style 1024 8" xfId="2328" xr:uid="{00000000-0005-0000-0000-0000AF050000}"/>
    <cellStyle name="Style 1024 8 2" xfId="4229" xr:uid="{00000000-0005-0000-0000-0000B0050000}"/>
    <cellStyle name="Style 1024 9" xfId="2575" xr:uid="{00000000-0005-0000-0000-0000B1050000}"/>
    <cellStyle name="Style 1024 9 2" xfId="4464" xr:uid="{00000000-0005-0000-0000-0000B2050000}"/>
    <cellStyle name="Style 1025" xfId="123" xr:uid="{00000000-0005-0000-0000-0000B3050000}"/>
    <cellStyle name="Style 1025 10" xfId="2810" xr:uid="{00000000-0005-0000-0000-0000B4050000}"/>
    <cellStyle name="Style 1025 10 2" xfId="4699" xr:uid="{00000000-0005-0000-0000-0000B5050000}"/>
    <cellStyle name="Style 1025 11" xfId="3047" xr:uid="{00000000-0005-0000-0000-0000B6050000}"/>
    <cellStyle name="Style 1025 11 2" xfId="4933" xr:uid="{00000000-0005-0000-0000-0000B7050000}"/>
    <cellStyle name="Style 1025 12" xfId="5169" xr:uid="{00000000-0005-0000-0000-0000B8050000}"/>
    <cellStyle name="Style 1025 12 2" xfId="6629" xr:uid="{00000000-0005-0000-0000-0000B8050000}"/>
    <cellStyle name="Style 1025 13" xfId="5435" xr:uid="{00000000-0005-0000-0000-0000B9050000}"/>
    <cellStyle name="Style 1025 13 2" xfId="6859" xr:uid="{00000000-0005-0000-0000-0000B9050000}"/>
    <cellStyle name="Style 1025 14" xfId="5633" xr:uid="{00000000-0005-0000-0000-0000BA050000}"/>
    <cellStyle name="Style 1025 14 2" xfId="7053" xr:uid="{00000000-0005-0000-0000-0000BA050000}"/>
    <cellStyle name="Style 1025 15" xfId="5752" xr:uid="{00000000-0005-0000-0000-0000BB050000}"/>
    <cellStyle name="Style 1025 15 2" xfId="7172" xr:uid="{00000000-0005-0000-0000-0000BB050000}"/>
    <cellStyle name="Style 1025 16" xfId="6011" xr:uid="{00000000-0005-0000-0000-0000BC050000}"/>
    <cellStyle name="Style 1025 16 2" xfId="7431" xr:uid="{00000000-0005-0000-0000-0000BC050000}"/>
    <cellStyle name="Style 1025 17" xfId="6243" xr:uid="{00000000-0005-0000-0000-0000BD050000}"/>
    <cellStyle name="Style 1025 17 2" xfId="7521" xr:uid="{00000000-0005-0000-0000-0000BD050000}"/>
    <cellStyle name="Style 1025 2" xfId="357" xr:uid="{00000000-0005-0000-0000-0000BE050000}"/>
    <cellStyle name="Style 1025 2 2" xfId="830" xr:uid="{00000000-0005-0000-0000-0000BF050000}"/>
    <cellStyle name="Style 1025 2 2 2" xfId="8200" xr:uid="{815491D2-F2FD-442B-86FA-3CEF28D574F8}"/>
    <cellStyle name="Style 1025 2 3" xfId="8199" xr:uid="{97C99EE8-4C56-41D1-936E-92D5403CA36D}"/>
    <cellStyle name="Style 1025 3" xfId="591" xr:uid="{00000000-0005-0000-0000-0000C0050000}"/>
    <cellStyle name="Style 1025 3 2" xfId="1064" xr:uid="{00000000-0005-0000-0000-0000C1050000}"/>
    <cellStyle name="Style 1025 3 3" xfId="8201" xr:uid="{375A4ED2-D4C4-4E4B-9D3F-8CF31F97A2ED}"/>
    <cellStyle name="Style 1025 4" xfId="1304" xr:uid="{00000000-0005-0000-0000-0000C2050000}"/>
    <cellStyle name="Style 1025 4 2" xfId="3288" xr:uid="{00000000-0005-0000-0000-0000C3050000}"/>
    <cellStyle name="Style 1025 5" xfId="1599" xr:uid="{00000000-0005-0000-0000-0000C4050000}"/>
    <cellStyle name="Style 1025 5 2" xfId="3526" xr:uid="{00000000-0005-0000-0000-0000C5050000}"/>
    <cellStyle name="Style 1025 6" xfId="1850" xr:uid="{00000000-0005-0000-0000-0000C6050000}"/>
    <cellStyle name="Style 1025 6 2" xfId="3760" xr:uid="{00000000-0005-0000-0000-0000C7050000}"/>
    <cellStyle name="Style 1025 7" xfId="2094" xr:uid="{00000000-0005-0000-0000-0000C8050000}"/>
    <cellStyle name="Style 1025 7 2" xfId="3995" xr:uid="{00000000-0005-0000-0000-0000C9050000}"/>
    <cellStyle name="Style 1025 8" xfId="2329" xr:uid="{00000000-0005-0000-0000-0000CA050000}"/>
    <cellStyle name="Style 1025 8 2" xfId="4230" xr:uid="{00000000-0005-0000-0000-0000CB050000}"/>
    <cellStyle name="Style 1025 9" xfId="2576" xr:uid="{00000000-0005-0000-0000-0000CC050000}"/>
    <cellStyle name="Style 1025 9 2" xfId="4465" xr:uid="{00000000-0005-0000-0000-0000CD050000}"/>
    <cellStyle name="Style 1028" xfId="124" xr:uid="{00000000-0005-0000-0000-0000CE050000}"/>
    <cellStyle name="Style 1028 10" xfId="2811" xr:uid="{00000000-0005-0000-0000-0000CF050000}"/>
    <cellStyle name="Style 1028 10 2" xfId="4700" xr:uid="{00000000-0005-0000-0000-0000D0050000}"/>
    <cellStyle name="Style 1028 11" xfId="3048" xr:uid="{00000000-0005-0000-0000-0000D1050000}"/>
    <cellStyle name="Style 1028 11 2" xfId="4934" xr:uid="{00000000-0005-0000-0000-0000D2050000}"/>
    <cellStyle name="Style 1028 12" xfId="5170" xr:uid="{00000000-0005-0000-0000-0000D3050000}"/>
    <cellStyle name="Style 1028 12 2" xfId="6630" xr:uid="{00000000-0005-0000-0000-0000D3050000}"/>
    <cellStyle name="Style 1028 13" xfId="5634" xr:uid="{00000000-0005-0000-0000-0000D4050000}"/>
    <cellStyle name="Style 1028 13 2" xfId="7054" xr:uid="{00000000-0005-0000-0000-0000D4050000}"/>
    <cellStyle name="Style 1028 14" xfId="5753" xr:uid="{00000000-0005-0000-0000-0000D5050000}"/>
    <cellStyle name="Style 1028 14 2" xfId="7173" xr:uid="{00000000-0005-0000-0000-0000D5050000}"/>
    <cellStyle name="Style 1028 15" xfId="6244" xr:uid="{00000000-0005-0000-0000-0000D6050000}"/>
    <cellStyle name="Style 1028 15 2" xfId="7522" xr:uid="{00000000-0005-0000-0000-0000D6050000}"/>
    <cellStyle name="Style 1028 2" xfId="358" xr:uid="{00000000-0005-0000-0000-0000D7050000}"/>
    <cellStyle name="Style 1028 2 2" xfId="831" xr:uid="{00000000-0005-0000-0000-0000D8050000}"/>
    <cellStyle name="Style 1028 2 3" xfId="8202" xr:uid="{5D2CC818-F85A-4C0A-A2EE-8FF7250F1670}"/>
    <cellStyle name="Style 1028 3" xfId="592" xr:uid="{00000000-0005-0000-0000-0000D9050000}"/>
    <cellStyle name="Style 1028 3 2" xfId="1065" xr:uid="{00000000-0005-0000-0000-0000DA050000}"/>
    <cellStyle name="Style 1028 3 3" xfId="8203" xr:uid="{36052AF9-345C-42B8-94D4-E319A1A06610}"/>
    <cellStyle name="Style 1028 4" xfId="1305" xr:uid="{00000000-0005-0000-0000-0000DB050000}"/>
    <cellStyle name="Style 1028 4 2" xfId="3289" xr:uid="{00000000-0005-0000-0000-0000DC050000}"/>
    <cellStyle name="Style 1028 5" xfId="1600" xr:uid="{00000000-0005-0000-0000-0000DD050000}"/>
    <cellStyle name="Style 1028 5 2" xfId="3527" xr:uid="{00000000-0005-0000-0000-0000DE050000}"/>
    <cellStyle name="Style 1028 6" xfId="1851" xr:uid="{00000000-0005-0000-0000-0000DF050000}"/>
    <cellStyle name="Style 1028 6 2" xfId="3761" xr:uid="{00000000-0005-0000-0000-0000E0050000}"/>
    <cellStyle name="Style 1028 7" xfId="2095" xr:uid="{00000000-0005-0000-0000-0000E1050000}"/>
    <cellStyle name="Style 1028 7 2" xfId="3996" xr:uid="{00000000-0005-0000-0000-0000E2050000}"/>
    <cellStyle name="Style 1028 8" xfId="2330" xr:uid="{00000000-0005-0000-0000-0000E3050000}"/>
    <cellStyle name="Style 1028 8 2" xfId="4231" xr:uid="{00000000-0005-0000-0000-0000E4050000}"/>
    <cellStyle name="Style 1028 9" xfId="2577" xr:uid="{00000000-0005-0000-0000-0000E5050000}"/>
    <cellStyle name="Style 1028 9 2" xfId="4466" xr:uid="{00000000-0005-0000-0000-0000E6050000}"/>
    <cellStyle name="Style 1101" xfId="125" xr:uid="{00000000-0005-0000-0000-0000E7050000}"/>
    <cellStyle name="Style 1101 10" xfId="2812" xr:uid="{00000000-0005-0000-0000-0000E8050000}"/>
    <cellStyle name="Style 1101 10 2" xfId="4701" xr:uid="{00000000-0005-0000-0000-0000E9050000}"/>
    <cellStyle name="Style 1101 11" xfId="3049" xr:uid="{00000000-0005-0000-0000-0000EA050000}"/>
    <cellStyle name="Style 1101 11 2" xfId="4935" xr:uid="{00000000-0005-0000-0000-0000EB050000}"/>
    <cellStyle name="Style 1101 12" xfId="5171" xr:uid="{00000000-0005-0000-0000-0000EC050000}"/>
    <cellStyle name="Style 1101 12 2" xfId="6631" xr:uid="{00000000-0005-0000-0000-0000EC050000}"/>
    <cellStyle name="Style 1101 13" xfId="5436" xr:uid="{00000000-0005-0000-0000-0000ED050000}"/>
    <cellStyle name="Style 1101 13 2" xfId="6860" xr:uid="{00000000-0005-0000-0000-0000ED050000}"/>
    <cellStyle name="Style 1101 14" xfId="5754" xr:uid="{00000000-0005-0000-0000-0000EE050000}"/>
    <cellStyle name="Style 1101 14 2" xfId="7174" xr:uid="{00000000-0005-0000-0000-0000EE050000}"/>
    <cellStyle name="Style 1101 15" xfId="6245" xr:uid="{00000000-0005-0000-0000-0000EF050000}"/>
    <cellStyle name="Style 1101 15 2" xfId="7523" xr:uid="{00000000-0005-0000-0000-0000EF050000}"/>
    <cellStyle name="Style 1101 2" xfId="359" xr:uid="{00000000-0005-0000-0000-0000F0050000}"/>
    <cellStyle name="Style 1101 2 2" xfId="832" xr:uid="{00000000-0005-0000-0000-0000F1050000}"/>
    <cellStyle name="Style 1101 2 2 2" xfId="8205" xr:uid="{E405A18E-9FD5-44A2-A13C-0BE9F8C09082}"/>
    <cellStyle name="Style 1101 2 3" xfId="8204" xr:uid="{A39FB248-51B0-490E-AB49-7EC47964AFBB}"/>
    <cellStyle name="Style 1101 3" xfId="593" xr:uid="{00000000-0005-0000-0000-0000F2050000}"/>
    <cellStyle name="Style 1101 3 2" xfId="1066" xr:uid="{00000000-0005-0000-0000-0000F3050000}"/>
    <cellStyle name="Style 1101 3 3" xfId="8206" xr:uid="{0594DA5F-3150-4679-8DB8-8483AE872D17}"/>
    <cellStyle name="Style 1101 4" xfId="1306" xr:uid="{00000000-0005-0000-0000-0000F4050000}"/>
    <cellStyle name="Style 1101 4 2" xfId="3290" xr:uid="{00000000-0005-0000-0000-0000F5050000}"/>
    <cellStyle name="Style 1101 5" xfId="1601" xr:uid="{00000000-0005-0000-0000-0000F6050000}"/>
    <cellStyle name="Style 1101 5 2" xfId="3528" xr:uid="{00000000-0005-0000-0000-0000F7050000}"/>
    <cellStyle name="Style 1101 6" xfId="1852" xr:uid="{00000000-0005-0000-0000-0000F8050000}"/>
    <cellStyle name="Style 1101 6 2" xfId="3762" xr:uid="{00000000-0005-0000-0000-0000F9050000}"/>
    <cellStyle name="Style 1101 7" xfId="2096" xr:uid="{00000000-0005-0000-0000-0000FA050000}"/>
    <cellStyle name="Style 1101 7 2" xfId="3997" xr:uid="{00000000-0005-0000-0000-0000FB050000}"/>
    <cellStyle name="Style 1101 8" xfId="2331" xr:uid="{00000000-0005-0000-0000-0000FC050000}"/>
    <cellStyle name="Style 1101 8 2" xfId="4232" xr:uid="{00000000-0005-0000-0000-0000FD050000}"/>
    <cellStyle name="Style 1101 9" xfId="2578" xr:uid="{00000000-0005-0000-0000-0000FE050000}"/>
    <cellStyle name="Style 1101 9 2" xfId="4467" xr:uid="{00000000-0005-0000-0000-0000FF050000}"/>
    <cellStyle name="Style 1103" xfId="126" xr:uid="{00000000-0005-0000-0000-000000060000}"/>
    <cellStyle name="Style 1103 10" xfId="2813" xr:uid="{00000000-0005-0000-0000-000001060000}"/>
    <cellStyle name="Style 1103 10 2" xfId="4702" xr:uid="{00000000-0005-0000-0000-000002060000}"/>
    <cellStyle name="Style 1103 11" xfId="3050" xr:uid="{00000000-0005-0000-0000-000003060000}"/>
    <cellStyle name="Style 1103 11 2" xfId="4936" xr:uid="{00000000-0005-0000-0000-000004060000}"/>
    <cellStyle name="Style 1103 12" xfId="5172" xr:uid="{00000000-0005-0000-0000-000005060000}"/>
    <cellStyle name="Style 1103 12 2" xfId="6632" xr:uid="{00000000-0005-0000-0000-000005060000}"/>
    <cellStyle name="Style 1103 13" xfId="5437" xr:uid="{00000000-0005-0000-0000-000006060000}"/>
    <cellStyle name="Style 1103 13 2" xfId="6861" xr:uid="{00000000-0005-0000-0000-000006060000}"/>
    <cellStyle name="Style 1103 14" xfId="5755" xr:uid="{00000000-0005-0000-0000-000007060000}"/>
    <cellStyle name="Style 1103 14 2" xfId="7175" xr:uid="{00000000-0005-0000-0000-000007060000}"/>
    <cellStyle name="Style 1103 15" xfId="6246" xr:uid="{00000000-0005-0000-0000-000008060000}"/>
    <cellStyle name="Style 1103 15 2" xfId="7524" xr:uid="{00000000-0005-0000-0000-000008060000}"/>
    <cellStyle name="Style 1103 2" xfId="360" xr:uid="{00000000-0005-0000-0000-000009060000}"/>
    <cellStyle name="Style 1103 2 2" xfId="833" xr:uid="{00000000-0005-0000-0000-00000A060000}"/>
    <cellStyle name="Style 1103 2 2 2" xfId="8208" xr:uid="{D3F2CB96-97C3-4E16-A22D-52ADAB417E33}"/>
    <cellStyle name="Style 1103 2 3" xfId="8207" xr:uid="{0B2F4485-BB1C-469C-A49C-1B564B7DC115}"/>
    <cellStyle name="Style 1103 3" xfId="594" xr:uid="{00000000-0005-0000-0000-00000B060000}"/>
    <cellStyle name="Style 1103 3 2" xfId="1067" xr:uid="{00000000-0005-0000-0000-00000C060000}"/>
    <cellStyle name="Style 1103 3 3" xfId="8209" xr:uid="{24560B9A-C287-46C7-91BB-FCA56782C3C1}"/>
    <cellStyle name="Style 1103 4" xfId="1307" xr:uid="{00000000-0005-0000-0000-00000D060000}"/>
    <cellStyle name="Style 1103 4 2" xfId="3291" xr:uid="{00000000-0005-0000-0000-00000E060000}"/>
    <cellStyle name="Style 1103 4 3" xfId="8210" xr:uid="{D616F227-1D28-43B2-9F7C-F1F448BF87FC}"/>
    <cellStyle name="Style 1103 5" xfId="1602" xr:uid="{00000000-0005-0000-0000-00000F060000}"/>
    <cellStyle name="Style 1103 5 2" xfId="3529" xr:uid="{00000000-0005-0000-0000-000010060000}"/>
    <cellStyle name="Style 1103 6" xfId="1853" xr:uid="{00000000-0005-0000-0000-000011060000}"/>
    <cellStyle name="Style 1103 6 2" xfId="3763" xr:uid="{00000000-0005-0000-0000-000012060000}"/>
    <cellStyle name="Style 1103 7" xfId="2097" xr:uid="{00000000-0005-0000-0000-000013060000}"/>
    <cellStyle name="Style 1103 7 2" xfId="3998" xr:uid="{00000000-0005-0000-0000-000014060000}"/>
    <cellStyle name="Style 1103 8" xfId="2332" xr:uid="{00000000-0005-0000-0000-000015060000}"/>
    <cellStyle name="Style 1103 8 2" xfId="4233" xr:uid="{00000000-0005-0000-0000-000016060000}"/>
    <cellStyle name="Style 1103 9" xfId="2579" xr:uid="{00000000-0005-0000-0000-000017060000}"/>
    <cellStyle name="Style 1103 9 2" xfId="4468" xr:uid="{00000000-0005-0000-0000-000018060000}"/>
    <cellStyle name="Style 1104" xfId="127" xr:uid="{00000000-0005-0000-0000-000019060000}"/>
    <cellStyle name="Style 1104 10" xfId="2814" xr:uid="{00000000-0005-0000-0000-00001A060000}"/>
    <cellStyle name="Style 1104 10 2" xfId="4703" xr:uid="{00000000-0005-0000-0000-00001B060000}"/>
    <cellStyle name="Style 1104 11" xfId="3051" xr:uid="{00000000-0005-0000-0000-00001C060000}"/>
    <cellStyle name="Style 1104 11 2" xfId="4937" xr:uid="{00000000-0005-0000-0000-00001D060000}"/>
    <cellStyle name="Style 1104 12" xfId="5173" xr:uid="{00000000-0005-0000-0000-00001E060000}"/>
    <cellStyle name="Style 1104 12 2" xfId="6633" xr:uid="{00000000-0005-0000-0000-00001E060000}"/>
    <cellStyle name="Style 1104 13" xfId="5438" xr:uid="{00000000-0005-0000-0000-00001F060000}"/>
    <cellStyle name="Style 1104 13 2" xfId="6862" xr:uid="{00000000-0005-0000-0000-00001F060000}"/>
    <cellStyle name="Style 1104 14" xfId="5756" xr:uid="{00000000-0005-0000-0000-000020060000}"/>
    <cellStyle name="Style 1104 14 2" xfId="7176" xr:uid="{00000000-0005-0000-0000-000020060000}"/>
    <cellStyle name="Style 1104 15" xfId="6247" xr:uid="{00000000-0005-0000-0000-000021060000}"/>
    <cellStyle name="Style 1104 15 2" xfId="7525" xr:uid="{00000000-0005-0000-0000-000021060000}"/>
    <cellStyle name="Style 1104 2" xfId="361" xr:uid="{00000000-0005-0000-0000-000022060000}"/>
    <cellStyle name="Style 1104 2 2" xfId="834" xr:uid="{00000000-0005-0000-0000-000023060000}"/>
    <cellStyle name="Style 1104 2 2 2" xfId="8212" xr:uid="{83570D39-BB8A-4B75-B1B1-929DAD48FFF2}"/>
    <cellStyle name="Style 1104 2 3" xfId="8211" xr:uid="{825C90CB-64A0-4D48-B7D1-C26893B8FCB5}"/>
    <cellStyle name="Style 1104 3" xfId="595" xr:uid="{00000000-0005-0000-0000-000024060000}"/>
    <cellStyle name="Style 1104 3 2" xfId="1068" xr:uid="{00000000-0005-0000-0000-000025060000}"/>
    <cellStyle name="Style 1104 3 3" xfId="8213" xr:uid="{2345C392-C454-4EB0-9003-7672D0EA4AC9}"/>
    <cellStyle name="Style 1104 4" xfId="1308" xr:uid="{00000000-0005-0000-0000-000026060000}"/>
    <cellStyle name="Style 1104 4 2" xfId="3292" xr:uid="{00000000-0005-0000-0000-000027060000}"/>
    <cellStyle name="Style 1104 4 3" xfId="8214" xr:uid="{E69ADB60-DA48-48B9-BC10-9965C8962968}"/>
    <cellStyle name="Style 1104 5" xfId="1603" xr:uid="{00000000-0005-0000-0000-000028060000}"/>
    <cellStyle name="Style 1104 5 2" xfId="3530" xr:uid="{00000000-0005-0000-0000-000029060000}"/>
    <cellStyle name="Style 1104 6" xfId="1854" xr:uid="{00000000-0005-0000-0000-00002A060000}"/>
    <cellStyle name="Style 1104 6 2" xfId="3764" xr:uid="{00000000-0005-0000-0000-00002B060000}"/>
    <cellStyle name="Style 1104 7" xfId="2098" xr:uid="{00000000-0005-0000-0000-00002C060000}"/>
    <cellStyle name="Style 1104 7 2" xfId="3999" xr:uid="{00000000-0005-0000-0000-00002D060000}"/>
    <cellStyle name="Style 1104 8" xfId="2333" xr:uid="{00000000-0005-0000-0000-00002E060000}"/>
    <cellStyle name="Style 1104 8 2" xfId="4234" xr:uid="{00000000-0005-0000-0000-00002F060000}"/>
    <cellStyle name="Style 1104 9" xfId="2580" xr:uid="{00000000-0005-0000-0000-000030060000}"/>
    <cellStyle name="Style 1104 9 2" xfId="4469" xr:uid="{00000000-0005-0000-0000-000031060000}"/>
    <cellStyle name="Style 1105" xfId="128" xr:uid="{00000000-0005-0000-0000-000032060000}"/>
    <cellStyle name="Style 1105 10" xfId="2815" xr:uid="{00000000-0005-0000-0000-000033060000}"/>
    <cellStyle name="Style 1105 10 2" xfId="4704" xr:uid="{00000000-0005-0000-0000-000034060000}"/>
    <cellStyle name="Style 1105 11" xfId="3052" xr:uid="{00000000-0005-0000-0000-000035060000}"/>
    <cellStyle name="Style 1105 11 2" xfId="4938" xr:uid="{00000000-0005-0000-0000-000036060000}"/>
    <cellStyle name="Style 1105 12" xfId="5174" xr:uid="{00000000-0005-0000-0000-000037060000}"/>
    <cellStyle name="Style 1105 12 2" xfId="6634" xr:uid="{00000000-0005-0000-0000-000037060000}"/>
    <cellStyle name="Style 1105 13" xfId="5439" xr:uid="{00000000-0005-0000-0000-000038060000}"/>
    <cellStyle name="Style 1105 13 2" xfId="6863" xr:uid="{00000000-0005-0000-0000-000038060000}"/>
    <cellStyle name="Style 1105 14" xfId="5757" xr:uid="{00000000-0005-0000-0000-000039060000}"/>
    <cellStyle name="Style 1105 14 2" xfId="7177" xr:uid="{00000000-0005-0000-0000-000039060000}"/>
    <cellStyle name="Style 1105 15" xfId="6248" xr:uid="{00000000-0005-0000-0000-00003A060000}"/>
    <cellStyle name="Style 1105 15 2" xfId="7526" xr:uid="{00000000-0005-0000-0000-00003A060000}"/>
    <cellStyle name="Style 1105 2" xfId="362" xr:uid="{00000000-0005-0000-0000-00003B060000}"/>
    <cellStyle name="Style 1105 2 2" xfId="835" xr:uid="{00000000-0005-0000-0000-00003C060000}"/>
    <cellStyle name="Style 1105 2 2 2" xfId="8216" xr:uid="{C294A836-DBF4-401E-B67D-91D1455C1411}"/>
    <cellStyle name="Style 1105 2 3" xfId="8215" xr:uid="{BA6579C3-098D-4AD0-ADA7-CEA49EF50D9D}"/>
    <cellStyle name="Style 1105 3" xfId="596" xr:uid="{00000000-0005-0000-0000-00003D060000}"/>
    <cellStyle name="Style 1105 3 2" xfId="1069" xr:uid="{00000000-0005-0000-0000-00003E060000}"/>
    <cellStyle name="Style 1105 3 3" xfId="8217" xr:uid="{B53F667A-AA5C-457E-8B52-0DA63045CC85}"/>
    <cellStyle name="Style 1105 4" xfId="1309" xr:uid="{00000000-0005-0000-0000-00003F060000}"/>
    <cellStyle name="Style 1105 4 2" xfId="3293" xr:uid="{00000000-0005-0000-0000-000040060000}"/>
    <cellStyle name="Style 1105 4 3" xfId="8218" xr:uid="{7D31C9BD-3DE0-4E5A-9B2B-E21FE4F618AC}"/>
    <cellStyle name="Style 1105 5" xfId="1604" xr:uid="{00000000-0005-0000-0000-000041060000}"/>
    <cellStyle name="Style 1105 5 2" xfId="3531" xr:uid="{00000000-0005-0000-0000-000042060000}"/>
    <cellStyle name="Style 1105 6" xfId="1855" xr:uid="{00000000-0005-0000-0000-000043060000}"/>
    <cellStyle name="Style 1105 6 2" xfId="3765" xr:uid="{00000000-0005-0000-0000-000044060000}"/>
    <cellStyle name="Style 1105 7" xfId="2099" xr:uid="{00000000-0005-0000-0000-000045060000}"/>
    <cellStyle name="Style 1105 7 2" xfId="4000" xr:uid="{00000000-0005-0000-0000-000046060000}"/>
    <cellStyle name="Style 1105 8" xfId="2334" xr:uid="{00000000-0005-0000-0000-000047060000}"/>
    <cellStyle name="Style 1105 8 2" xfId="4235" xr:uid="{00000000-0005-0000-0000-000048060000}"/>
    <cellStyle name="Style 1105 9" xfId="2581" xr:uid="{00000000-0005-0000-0000-000049060000}"/>
    <cellStyle name="Style 1105 9 2" xfId="4470" xr:uid="{00000000-0005-0000-0000-00004A060000}"/>
    <cellStyle name="Style 1106" xfId="129" xr:uid="{00000000-0005-0000-0000-00004B060000}"/>
    <cellStyle name="Style 1106 10" xfId="2816" xr:uid="{00000000-0005-0000-0000-00004C060000}"/>
    <cellStyle name="Style 1106 10 2" xfId="4705" xr:uid="{00000000-0005-0000-0000-00004D060000}"/>
    <cellStyle name="Style 1106 11" xfId="3053" xr:uid="{00000000-0005-0000-0000-00004E060000}"/>
    <cellStyle name="Style 1106 11 2" xfId="4939" xr:uid="{00000000-0005-0000-0000-00004F060000}"/>
    <cellStyle name="Style 1106 12" xfId="5175" xr:uid="{00000000-0005-0000-0000-000050060000}"/>
    <cellStyle name="Style 1106 12 2" xfId="6635" xr:uid="{00000000-0005-0000-0000-000050060000}"/>
    <cellStyle name="Style 1106 13" xfId="5440" xr:uid="{00000000-0005-0000-0000-000051060000}"/>
    <cellStyle name="Style 1106 13 2" xfId="6864" xr:uid="{00000000-0005-0000-0000-000051060000}"/>
    <cellStyle name="Style 1106 14" xfId="5635" xr:uid="{00000000-0005-0000-0000-000052060000}"/>
    <cellStyle name="Style 1106 14 2" xfId="7055" xr:uid="{00000000-0005-0000-0000-000052060000}"/>
    <cellStyle name="Style 1106 15" xfId="5758" xr:uid="{00000000-0005-0000-0000-000053060000}"/>
    <cellStyle name="Style 1106 15 2" xfId="7178" xr:uid="{00000000-0005-0000-0000-000053060000}"/>
    <cellStyle name="Style 1106 16" xfId="6012" xr:uid="{00000000-0005-0000-0000-000054060000}"/>
    <cellStyle name="Style 1106 16 2" xfId="7432" xr:uid="{00000000-0005-0000-0000-000054060000}"/>
    <cellStyle name="Style 1106 17" xfId="6249" xr:uid="{00000000-0005-0000-0000-000055060000}"/>
    <cellStyle name="Style 1106 17 2" xfId="7527" xr:uid="{00000000-0005-0000-0000-000055060000}"/>
    <cellStyle name="Style 1106 2" xfId="363" xr:uid="{00000000-0005-0000-0000-000056060000}"/>
    <cellStyle name="Style 1106 2 2" xfId="836" xr:uid="{00000000-0005-0000-0000-000057060000}"/>
    <cellStyle name="Style 1106 2 2 2" xfId="8220" xr:uid="{D5F46501-1A69-4F6E-97DB-8720D78EDD33}"/>
    <cellStyle name="Style 1106 2 3" xfId="8219" xr:uid="{A2BD8183-BE00-4087-8EBF-B39730EBBA97}"/>
    <cellStyle name="Style 1106 3" xfId="597" xr:uid="{00000000-0005-0000-0000-000058060000}"/>
    <cellStyle name="Style 1106 3 2" xfId="1070" xr:uid="{00000000-0005-0000-0000-000059060000}"/>
    <cellStyle name="Style 1106 3 3" xfId="8221" xr:uid="{1B24A0D2-FF2B-4DFB-9B69-3B20D6800866}"/>
    <cellStyle name="Style 1106 4" xfId="1310" xr:uid="{00000000-0005-0000-0000-00005A060000}"/>
    <cellStyle name="Style 1106 4 2" xfId="3294" xr:uid="{00000000-0005-0000-0000-00005B060000}"/>
    <cellStyle name="Style 1106 4 3" xfId="8222" xr:uid="{1B7A62AB-A6C0-4351-A98B-FDF9C8C12F93}"/>
    <cellStyle name="Style 1106 5" xfId="1605" xr:uid="{00000000-0005-0000-0000-00005C060000}"/>
    <cellStyle name="Style 1106 5 2" xfId="3532" xr:uid="{00000000-0005-0000-0000-00005D060000}"/>
    <cellStyle name="Style 1106 6" xfId="1856" xr:uid="{00000000-0005-0000-0000-00005E060000}"/>
    <cellStyle name="Style 1106 6 2" xfId="3766" xr:uid="{00000000-0005-0000-0000-00005F060000}"/>
    <cellStyle name="Style 1106 7" xfId="2100" xr:uid="{00000000-0005-0000-0000-000060060000}"/>
    <cellStyle name="Style 1106 7 2" xfId="4001" xr:uid="{00000000-0005-0000-0000-000061060000}"/>
    <cellStyle name="Style 1106 8" xfId="2335" xr:uid="{00000000-0005-0000-0000-000062060000}"/>
    <cellStyle name="Style 1106 8 2" xfId="4236" xr:uid="{00000000-0005-0000-0000-000063060000}"/>
    <cellStyle name="Style 1106 9" xfId="2582" xr:uid="{00000000-0005-0000-0000-000064060000}"/>
    <cellStyle name="Style 1106 9 2" xfId="4471" xr:uid="{00000000-0005-0000-0000-000065060000}"/>
    <cellStyle name="Style 1107" xfId="130" xr:uid="{00000000-0005-0000-0000-000066060000}"/>
    <cellStyle name="Style 1107 10" xfId="2817" xr:uid="{00000000-0005-0000-0000-000067060000}"/>
    <cellStyle name="Style 1107 10 2" xfId="4706" xr:uid="{00000000-0005-0000-0000-000068060000}"/>
    <cellStyle name="Style 1107 11" xfId="3054" xr:uid="{00000000-0005-0000-0000-000069060000}"/>
    <cellStyle name="Style 1107 11 2" xfId="4940" xr:uid="{00000000-0005-0000-0000-00006A060000}"/>
    <cellStyle name="Style 1107 12" xfId="5176" xr:uid="{00000000-0005-0000-0000-00006B060000}"/>
    <cellStyle name="Style 1107 12 2" xfId="6636" xr:uid="{00000000-0005-0000-0000-00006B060000}"/>
    <cellStyle name="Style 1107 13" xfId="5441" xr:uid="{00000000-0005-0000-0000-00006C060000}"/>
    <cellStyle name="Style 1107 13 2" xfId="6865" xr:uid="{00000000-0005-0000-0000-00006C060000}"/>
    <cellStyle name="Style 1107 14" xfId="5636" xr:uid="{00000000-0005-0000-0000-00006D060000}"/>
    <cellStyle name="Style 1107 14 2" xfId="7056" xr:uid="{00000000-0005-0000-0000-00006D060000}"/>
    <cellStyle name="Style 1107 15" xfId="5759" xr:uid="{00000000-0005-0000-0000-00006E060000}"/>
    <cellStyle name="Style 1107 15 2" xfId="7179" xr:uid="{00000000-0005-0000-0000-00006E060000}"/>
    <cellStyle name="Style 1107 16" xfId="6013" xr:uid="{00000000-0005-0000-0000-00006F060000}"/>
    <cellStyle name="Style 1107 16 2" xfId="7433" xr:uid="{00000000-0005-0000-0000-00006F060000}"/>
    <cellStyle name="Style 1107 17" xfId="6250" xr:uid="{00000000-0005-0000-0000-000070060000}"/>
    <cellStyle name="Style 1107 17 2" xfId="7528" xr:uid="{00000000-0005-0000-0000-000070060000}"/>
    <cellStyle name="Style 1107 2" xfId="364" xr:uid="{00000000-0005-0000-0000-000071060000}"/>
    <cellStyle name="Style 1107 2 2" xfId="837" xr:uid="{00000000-0005-0000-0000-000072060000}"/>
    <cellStyle name="Style 1107 2 2 2" xfId="8224" xr:uid="{F19FF2F3-3F1D-4ECC-82CA-FFB4FE1AB70F}"/>
    <cellStyle name="Style 1107 2 3" xfId="8223" xr:uid="{1B68B651-35D2-4FAC-A05E-72BFC4A57E89}"/>
    <cellStyle name="Style 1107 3" xfId="598" xr:uid="{00000000-0005-0000-0000-000073060000}"/>
    <cellStyle name="Style 1107 3 2" xfId="1071" xr:uid="{00000000-0005-0000-0000-000074060000}"/>
    <cellStyle name="Style 1107 3 3" xfId="8225" xr:uid="{029BFBEF-22E6-4DCD-B775-DBC13633ACC2}"/>
    <cellStyle name="Style 1107 4" xfId="1311" xr:uid="{00000000-0005-0000-0000-000075060000}"/>
    <cellStyle name="Style 1107 4 2" xfId="3295" xr:uid="{00000000-0005-0000-0000-000076060000}"/>
    <cellStyle name="Style 1107 4 3" xfId="8226" xr:uid="{775EC4F2-223D-4E64-AD66-77CA5886018D}"/>
    <cellStyle name="Style 1107 5" xfId="1606" xr:uid="{00000000-0005-0000-0000-000077060000}"/>
    <cellStyle name="Style 1107 5 2" xfId="3533" xr:uid="{00000000-0005-0000-0000-000078060000}"/>
    <cellStyle name="Style 1107 6" xfId="1857" xr:uid="{00000000-0005-0000-0000-000079060000}"/>
    <cellStyle name="Style 1107 6 2" xfId="3767" xr:uid="{00000000-0005-0000-0000-00007A060000}"/>
    <cellStyle name="Style 1107 7" xfId="2101" xr:uid="{00000000-0005-0000-0000-00007B060000}"/>
    <cellStyle name="Style 1107 7 2" xfId="4002" xr:uid="{00000000-0005-0000-0000-00007C060000}"/>
    <cellStyle name="Style 1107 8" xfId="2336" xr:uid="{00000000-0005-0000-0000-00007D060000}"/>
    <cellStyle name="Style 1107 8 2" xfId="4237" xr:uid="{00000000-0005-0000-0000-00007E060000}"/>
    <cellStyle name="Style 1107 9" xfId="2583" xr:uid="{00000000-0005-0000-0000-00007F060000}"/>
    <cellStyle name="Style 1107 9 2" xfId="4472" xr:uid="{00000000-0005-0000-0000-000080060000}"/>
    <cellStyle name="Style 1108" xfId="131" xr:uid="{00000000-0005-0000-0000-000081060000}"/>
    <cellStyle name="Style 1108 10" xfId="2818" xr:uid="{00000000-0005-0000-0000-000082060000}"/>
    <cellStyle name="Style 1108 10 2" xfId="4707" xr:uid="{00000000-0005-0000-0000-000083060000}"/>
    <cellStyle name="Style 1108 11" xfId="3055" xr:uid="{00000000-0005-0000-0000-000084060000}"/>
    <cellStyle name="Style 1108 11 2" xfId="4941" xr:uid="{00000000-0005-0000-0000-000085060000}"/>
    <cellStyle name="Style 1108 12" xfId="5177" xr:uid="{00000000-0005-0000-0000-000086060000}"/>
    <cellStyle name="Style 1108 12 2" xfId="6637" xr:uid="{00000000-0005-0000-0000-000086060000}"/>
    <cellStyle name="Style 1108 13" xfId="5442" xr:uid="{00000000-0005-0000-0000-000087060000}"/>
    <cellStyle name="Style 1108 13 2" xfId="6866" xr:uid="{00000000-0005-0000-0000-000087060000}"/>
    <cellStyle name="Style 1108 14" xfId="5637" xr:uid="{00000000-0005-0000-0000-000088060000}"/>
    <cellStyle name="Style 1108 14 2" xfId="7057" xr:uid="{00000000-0005-0000-0000-000088060000}"/>
    <cellStyle name="Style 1108 15" xfId="5760" xr:uid="{00000000-0005-0000-0000-000089060000}"/>
    <cellStyle name="Style 1108 15 2" xfId="7180" xr:uid="{00000000-0005-0000-0000-000089060000}"/>
    <cellStyle name="Style 1108 16" xfId="6014" xr:uid="{00000000-0005-0000-0000-00008A060000}"/>
    <cellStyle name="Style 1108 16 2" xfId="7434" xr:uid="{00000000-0005-0000-0000-00008A060000}"/>
    <cellStyle name="Style 1108 17" xfId="6251" xr:uid="{00000000-0005-0000-0000-00008B060000}"/>
    <cellStyle name="Style 1108 17 2" xfId="7529" xr:uid="{00000000-0005-0000-0000-00008B060000}"/>
    <cellStyle name="Style 1108 2" xfId="365" xr:uid="{00000000-0005-0000-0000-00008C060000}"/>
    <cellStyle name="Style 1108 2 2" xfId="838" xr:uid="{00000000-0005-0000-0000-00008D060000}"/>
    <cellStyle name="Style 1108 2 2 2" xfId="8228" xr:uid="{93CEBA05-CF12-4D5A-8A5C-3481A93D2D38}"/>
    <cellStyle name="Style 1108 2 3" xfId="8227" xr:uid="{C2BEFBBF-6C5C-4A17-8875-8D71EED4A75F}"/>
    <cellStyle name="Style 1108 3" xfId="599" xr:uid="{00000000-0005-0000-0000-00008E060000}"/>
    <cellStyle name="Style 1108 3 2" xfId="1072" xr:uid="{00000000-0005-0000-0000-00008F060000}"/>
    <cellStyle name="Style 1108 3 3" xfId="8229" xr:uid="{294591ED-1753-42BD-BBA6-F313E1565182}"/>
    <cellStyle name="Style 1108 4" xfId="1312" xr:uid="{00000000-0005-0000-0000-000090060000}"/>
    <cellStyle name="Style 1108 4 2" xfId="3296" xr:uid="{00000000-0005-0000-0000-000091060000}"/>
    <cellStyle name="Style 1108 4 3" xfId="8230" xr:uid="{EAD42766-7C6E-4E1E-AACB-9A7192CD4CDB}"/>
    <cellStyle name="Style 1108 5" xfId="1607" xr:uid="{00000000-0005-0000-0000-000092060000}"/>
    <cellStyle name="Style 1108 5 2" xfId="3534" xr:uid="{00000000-0005-0000-0000-000093060000}"/>
    <cellStyle name="Style 1108 6" xfId="1858" xr:uid="{00000000-0005-0000-0000-000094060000}"/>
    <cellStyle name="Style 1108 6 2" xfId="3768" xr:uid="{00000000-0005-0000-0000-000095060000}"/>
    <cellStyle name="Style 1108 7" xfId="2102" xr:uid="{00000000-0005-0000-0000-000096060000}"/>
    <cellStyle name="Style 1108 7 2" xfId="4003" xr:uid="{00000000-0005-0000-0000-000097060000}"/>
    <cellStyle name="Style 1108 8" xfId="2337" xr:uid="{00000000-0005-0000-0000-000098060000}"/>
    <cellStyle name="Style 1108 8 2" xfId="4238" xr:uid="{00000000-0005-0000-0000-000099060000}"/>
    <cellStyle name="Style 1108 9" xfId="2584" xr:uid="{00000000-0005-0000-0000-00009A060000}"/>
    <cellStyle name="Style 1108 9 2" xfId="4473" xr:uid="{00000000-0005-0000-0000-00009B060000}"/>
    <cellStyle name="Style 1109" xfId="132" xr:uid="{00000000-0005-0000-0000-00009C060000}"/>
    <cellStyle name="Style 1109 10" xfId="2819" xr:uid="{00000000-0005-0000-0000-00009D060000}"/>
    <cellStyle name="Style 1109 10 2" xfId="4708" xr:uid="{00000000-0005-0000-0000-00009E060000}"/>
    <cellStyle name="Style 1109 11" xfId="3056" xr:uid="{00000000-0005-0000-0000-00009F060000}"/>
    <cellStyle name="Style 1109 11 2" xfId="4942" xr:uid="{00000000-0005-0000-0000-0000A0060000}"/>
    <cellStyle name="Style 1109 12" xfId="5178" xr:uid="{00000000-0005-0000-0000-0000A1060000}"/>
    <cellStyle name="Style 1109 12 2" xfId="6638" xr:uid="{00000000-0005-0000-0000-0000A1060000}"/>
    <cellStyle name="Style 1109 13" xfId="5443" xr:uid="{00000000-0005-0000-0000-0000A2060000}"/>
    <cellStyle name="Style 1109 13 2" xfId="6867" xr:uid="{00000000-0005-0000-0000-0000A2060000}"/>
    <cellStyle name="Style 1109 14" xfId="5638" xr:uid="{00000000-0005-0000-0000-0000A3060000}"/>
    <cellStyle name="Style 1109 14 2" xfId="7058" xr:uid="{00000000-0005-0000-0000-0000A3060000}"/>
    <cellStyle name="Style 1109 15" xfId="5761" xr:uid="{00000000-0005-0000-0000-0000A4060000}"/>
    <cellStyle name="Style 1109 15 2" xfId="7181" xr:uid="{00000000-0005-0000-0000-0000A4060000}"/>
    <cellStyle name="Style 1109 16" xfId="6015" xr:uid="{00000000-0005-0000-0000-0000A5060000}"/>
    <cellStyle name="Style 1109 16 2" xfId="7435" xr:uid="{00000000-0005-0000-0000-0000A5060000}"/>
    <cellStyle name="Style 1109 17" xfId="6252" xr:uid="{00000000-0005-0000-0000-0000A6060000}"/>
    <cellStyle name="Style 1109 17 2" xfId="7530" xr:uid="{00000000-0005-0000-0000-0000A6060000}"/>
    <cellStyle name="Style 1109 2" xfId="366" xr:uid="{00000000-0005-0000-0000-0000A7060000}"/>
    <cellStyle name="Style 1109 2 2" xfId="839" xr:uid="{00000000-0005-0000-0000-0000A8060000}"/>
    <cellStyle name="Style 1109 2 2 2" xfId="8232" xr:uid="{93DF1893-17E7-402E-B962-6244298E762F}"/>
    <cellStyle name="Style 1109 2 3" xfId="8231" xr:uid="{0B5595EB-B54E-4DD0-8C91-3EB7E61473DE}"/>
    <cellStyle name="Style 1109 3" xfId="600" xr:uid="{00000000-0005-0000-0000-0000A9060000}"/>
    <cellStyle name="Style 1109 3 2" xfId="1073" xr:uid="{00000000-0005-0000-0000-0000AA060000}"/>
    <cellStyle name="Style 1109 3 3" xfId="8233" xr:uid="{D3DF0E97-EFD4-4491-A637-957BFC42DE4B}"/>
    <cellStyle name="Style 1109 4" xfId="1313" xr:uid="{00000000-0005-0000-0000-0000AB060000}"/>
    <cellStyle name="Style 1109 4 2" xfId="3297" xr:uid="{00000000-0005-0000-0000-0000AC060000}"/>
    <cellStyle name="Style 1109 4 3" xfId="8234" xr:uid="{D589076F-0154-4C2F-A37C-94C796278F6A}"/>
    <cellStyle name="Style 1109 5" xfId="1608" xr:uid="{00000000-0005-0000-0000-0000AD060000}"/>
    <cellStyle name="Style 1109 5 2" xfId="3535" xr:uid="{00000000-0005-0000-0000-0000AE060000}"/>
    <cellStyle name="Style 1109 6" xfId="1859" xr:uid="{00000000-0005-0000-0000-0000AF060000}"/>
    <cellStyle name="Style 1109 6 2" xfId="3769" xr:uid="{00000000-0005-0000-0000-0000B0060000}"/>
    <cellStyle name="Style 1109 7" xfId="2103" xr:uid="{00000000-0005-0000-0000-0000B1060000}"/>
    <cellStyle name="Style 1109 7 2" xfId="4004" xr:uid="{00000000-0005-0000-0000-0000B2060000}"/>
    <cellStyle name="Style 1109 8" xfId="2338" xr:uid="{00000000-0005-0000-0000-0000B3060000}"/>
    <cellStyle name="Style 1109 8 2" xfId="4239" xr:uid="{00000000-0005-0000-0000-0000B4060000}"/>
    <cellStyle name="Style 1109 9" xfId="2585" xr:uid="{00000000-0005-0000-0000-0000B5060000}"/>
    <cellStyle name="Style 1109 9 2" xfId="4474" xr:uid="{00000000-0005-0000-0000-0000B6060000}"/>
    <cellStyle name="Style 1110" xfId="133" xr:uid="{00000000-0005-0000-0000-0000B7060000}"/>
    <cellStyle name="Style 1110 10" xfId="2820" xr:uid="{00000000-0005-0000-0000-0000B8060000}"/>
    <cellStyle name="Style 1110 10 2" xfId="4709" xr:uid="{00000000-0005-0000-0000-0000B9060000}"/>
    <cellStyle name="Style 1110 11" xfId="3057" xr:uid="{00000000-0005-0000-0000-0000BA060000}"/>
    <cellStyle name="Style 1110 11 2" xfId="4943" xr:uid="{00000000-0005-0000-0000-0000BB060000}"/>
    <cellStyle name="Style 1110 12" xfId="5179" xr:uid="{00000000-0005-0000-0000-0000BC060000}"/>
    <cellStyle name="Style 1110 12 2" xfId="6639" xr:uid="{00000000-0005-0000-0000-0000BC060000}"/>
    <cellStyle name="Style 1110 13" xfId="5444" xr:uid="{00000000-0005-0000-0000-0000BD060000}"/>
    <cellStyle name="Style 1110 13 2" xfId="6868" xr:uid="{00000000-0005-0000-0000-0000BD060000}"/>
    <cellStyle name="Style 1110 14" xfId="5639" xr:uid="{00000000-0005-0000-0000-0000BE060000}"/>
    <cellStyle name="Style 1110 14 2" xfId="7059" xr:uid="{00000000-0005-0000-0000-0000BE060000}"/>
    <cellStyle name="Style 1110 15" xfId="5762" xr:uid="{00000000-0005-0000-0000-0000BF060000}"/>
    <cellStyle name="Style 1110 15 2" xfId="7182" xr:uid="{00000000-0005-0000-0000-0000BF060000}"/>
    <cellStyle name="Style 1110 16" xfId="6016" xr:uid="{00000000-0005-0000-0000-0000C0060000}"/>
    <cellStyle name="Style 1110 16 2" xfId="7436" xr:uid="{00000000-0005-0000-0000-0000C0060000}"/>
    <cellStyle name="Style 1110 17" xfId="6253" xr:uid="{00000000-0005-0000-0000-0000C1060000}"/>
    <cellStyle name="Style 1110 17 2" xfId="7531" xr:uid="{00000000-0005-0000-0000-0000C1060000}"/>
    <cellStyle name="Style 1110 2" xfId="367" xr:uid="{00000000-0005-0000-0000-0000C2060000}"/>
    <cellStyle name="Style 1110 2 2" xfId="840" xr:uid="{00000000-0005-0000-0000-0000C3060000}"/>
    <cellStyle name="Style 1110 2 2 2" xfId="8236" xr:uid="{17528ED5-249F-4BC4-94DA-302B2F3FBEC7}"/>
    <cellStyle name="Style 1110 2 3" xfId="8235" xr:uid="{8DD6E082-C51E-47DF-AFD0-B5675B0E54BF}"/>
    <cellStyle name="Style 1110 3" xfId="601" xr:uid="{00000000-0005-0000-0000-0000C4060000}"/>
    <cellStyle name="Style 1110 3 2" xfId="1074" xr:uid="{00000000-0005-0000-0000-0000C5060000}"/>
    <cellStyle name="Style 1110 3 3" xfId="8237" xr:uid="{D27C7D8B-D915-477D-BAAE-63A016E87008}"/>
    <cellStyle name="Style 1110 4" xfId="1314" xr:uid="{00000000-0005-0000-0000-0000C6060000}"/>
    <cellStyle name="Style 1110 4 2" xfId="3298" xr:uid="{00000000-0005-0000-0000-0000C7060000}"/>
    <cellStyle name="Style 1110 4 3" xfId="8238" xr:uid="{E56E889A-A8EE-4542-82B0-CB167812AE37}"/>
    <cellStyle name="Style 1110 5" xfId="1609" xr:uid="{00000000-0005-0000-0000-0000C8060000}"/>
    <cellStyle name="Style 1110 5 2" xfId="3536" xr:uid="{00000000-0005-0000-0000-0000C9060000}"/>
    <cellStyle name="Style 1110 6" xfId="1860" xr:uid="{00000000-0005-0000-0000-0000CA060000}"/>
    <cellStyle name="Style 1110 6 2" xfId="3770" xr:uid="{00000000-0005-0000-0000-0000CB060000}"/>
    <cellStyle name="Style 1110 7" xfId="2104" xr:uid="{00000000-0005-0000-0000-0000CC060000}"/>
    <cellStyle name="Style 1110 7 2" xfId="4005" xr:uid="{00000000-0005-0000-0000-0000CD060000}"/>
    <cellStyle name="Style 1110 8" xfId="2339" xr:uid="{00000000-0005-0000-0000-0000CE060000}"/>
    <cellStyle name="Style 1110 8 2" xfId="4240" xr:uid="{00000000-0005-0000-0000-0000CF060000}"/>
    <cellStyle name="Style 1110 9" xfId="2586" xr:uid="{00000000-0005-0000-0000-0000D0060000}"/>
    <cellStyle name="Style 1110 9 2" xfId="4475" xr:uid="{00000000-0005-0000-0000-0000D1060000}"/>
    <cellStyle name="Style 1111" xfId="134" xr:uid="{00000000-0005-0000-0000-0000D2060000}"/>
    <cellStyle name="Style 1111 10" xfId="2821" xr:uid="{00000000-0005-0000-0000-0000D3060000}"/>
    <cellStyle name="Style 1111 10 2" xfId="4710" xr:uid="{00000000-0005-0000-0000-0000D4060000}"/>
    <cellStyle name="Style 1111 11" xfId="3058" xr:uid="{00000000-0005-0000-0000-0000D5060000}"/>
    <cellStyle name="Style 1111 11 2" xfId="4944" xr:uid="{00000000-0005-0000-0000-0000D6060000}"/>
    <cellStyle name="Style 1111 12" xfId="5180" xr:uid="{00000000-0005-0000-0000-0000D7060000}"/>
    <cellStyle name="Style 1111 12 2" xfId="6640" xr:uid="{00000000-0005-0000-0000-0000D7060000}"/>
    <cellStyle name="Style 1111 13" xfId="5445" xr:uid="{00000000-0005-0000-0000-0000D8060000}"/>
    <cellStyle name="Style 1111 13 2" xfId="6869" xr:uid="{00000000-0005-0000-0000-0000D8060000}"/>
    <cellStyle name="Style 1111 14" xfId="5640" xr:uid="{00000000-0005-0000-0000-0000D9060000}"/>
    <cellStyle name="Style 1111 14 2" xfId="7060" xr:uid="{00000000-0005-0000-0000-0000D9060000}"/>
    <cellStyle name="Style 1111 15" xfId="5763" xr:uid="{00000000-0005-0000-0000-0000DA060000}"/>
    <cellStyle name="Style 1111 15 2" xfId="7183" xr:uid="{00000000-0005-0000-0000-0000DA060000}"/>
    <cellStyle name="Style 1111 16" xfId="6017" xr:uid="{00000000-0005-0000-0000-0000DB060000}"/>
    <cellStyle name="Style 1111 16 2" xfId="7437" xr:uid="{00000000-0005-0000-0000-0000DB060000}"/>
    <cellStyle name="Style 1111 17" xfId="6254" xr:uid="{00000000-0005-0000-0000-0000DC060000}"/>
    <cellStyle name="Style 1111 17 2" xfId="7532" xr:uid="{00000000-0005-0000-0000-0000DC060000}"/>
    <cellStyle name="Style 1111 2" xfId="368" xr:uid="{00000000-0005-0000-0000-0000DD060000}"/>
    <cellStyle name="Style 1111 2 2" xfId="841" xr:uid="{00000000-0005-0000-0000-0000DE060000}"/>
    <cellStyle name="Style 1111 2 2 2" xfId="8240" xr:uid="{178B10C9-1FEA-440B-87ED-181691146CE4}"/>
    <cellStyle name="Style 1111 2 3" xfId="8239" xr:uid="{85FDE033-A432-4EE6-A7D8-89E84D3EE5AD}"/>
    <cellStyle name="Style 1111 3" xfId="602" xr:uid="{00000000-0005-0000-0000-0000DF060000}"/>
    <cellStyle name="Style 1111 3 2" xfId="1075" xr:uid="{00000000-0005-0000-0000-0000E0060000}"/>
    <cellStyle name="Style 1111 3 3" xfId="8241" xr:uid="{6CF84A9D-1C1A-4972-B8A4-C60764FDFE98}"/>
    <cellStyle name="Style 1111 4" xfId="1315" xr:uid="{00000000-0005-0000-0000-0000E1060000}"/>
    <cellStyle name="Style 1111 4 2" xfId="3299" xr:uid="{00000000-0005-0000-0000-0000E2060000}"/>
    <cellStyle name="Style 1111 4 3" xfId="8242" xr:uid="{BBE54B6E-AF97-4F7F-9E02-C8EE5954C50F}"/>
    <cellStyle name="Style 1111 5" xfId="1610" xr:uid="{00000000-0005-0000-0000-0000E3060000}"/>
    <cellStyle name="Style 1111 5 2" xfId="3537" xr:uid="{00000000-0005-0000-0000-0000E4060000}"/>
    <cellStyle name="Style 1111 6" xfId="1861" xr:uid="{00000000-0005-0000-0000-0000E5060000}"/>
    <cellStyle name="Style 1111 6 2" xfId="3771" xr:uid="{00000000-0005-0000-0000-0000E6060000}"/>
    <cellStyle name="Style 1111 7" xfId="2105" xr:uid="{00000000-0005-0000-0000-0000E7060000}"/>
    <cellStyle name="Style 1111 7 2" xfId="4006" xr:uid="{00000000-0005-0000-0000-0000E8060000}"/>
    <cellStyle name="Style 1111 8" xfId="2340" xr:uid="{00000000-0005-0000-0000-0000E9060000}"/>
    <cellStyle name="Style 1111 8 2" xfId="4241" xr:uid="{00000000-0005-0000-0000-0000EA060000}"/>
    <cellStyle name="Style 1111 9" xfId="2587" xr:uid="{00000000-0005-0000-0000-0000EB060000}"/>
    <cellStyle name="Style 1111 9 2" xfId="4476" xr:uid="{00000000-0005-0000-0000-0000EC060000}"/>
    <cellStyle name="Style 1112" xfId="135" xr:uid="{00000000-0005-0000-0000-0000ED060000}"/>
    <cellStyle name="Style 1112 10" xfId="2822" xr:uid="{00000000-0005-0000-0000-0000EE060000}"/>
    <cellStyle name="Style 1112 10 2" xfId="4711" xr:uid="{00000000-0005-0000-0000-0000EF060000}"/>
    <cellStyle name="Style 1112 11" xfId="3059" xr:uid="{00000000-0005-0000-0000-0000F0060000}"/>
    <cellStyle name="Style 1112 11 2" xfId="4945" xr:uid="{00000000-0005-0000-0000-0000F1060000}"/>
    <cellStyle name="Style 1112 12" xfId="5181" xr:uid="{00000000-0005-0000-0000-0000F2060000}"/>
    <cellStyle name="Style 1112 12 2" xfId="6641" xr:uid="{00000000-0005-0000-0000-0000F2060000}"/>
    <cellStyle name="Style 1112 13" xfId="5446" xr:uid="{00000000-0005-0000-0000-0000F3060000}"/>
    <cellStyle name="Style 1112 13 2" xfId="6870" xr:uid="{00000000-0005-0000-0000-0000F3060000}"/>
    <cellStyle name="Style 1112 14" xfId="5641" xr:uid="{00000000-0005-0000-0000-0000F4060000}"/>
    <cellStyle name="Style 1112 14 2" xfId="7061" xr:uid="{00000000-0005-0000-0000-0000F4060000}"/>
    <cellStyle name="Style 1112 15" xfId="5764" xr:uid="{00000000-0005-0000-0000-0000F5060000}"/>
    <cellStyle name="Style 1112 15 2" xfId="7184" xr:uid="{00000000-0005-0000-0000-0000F5060000}"/>
    <cellStyle name="Style 1112 16" xfId="6018" xr:uid="{00000000-0005-0000-0000-0000F6060000}"/>
    <cellStyle name="Style 1112 16 2" xfId="7438" xr:uid="{00000000-0005-0000-0000-0000F6060000}"/>
    <cellStyle name="Style 1112 17" xfId="6255" xr:uid="{00000000-0005-0000-0000-0000F7060000}"/>
    <cellStyle name="Style 1112 17 2" xfId="7533" xr:uid="{00000000-0005-0000-0000-0000F7060000}"/>
    <cellStyle name="Style 1112 2" xfId="369" xr:uid="{00000000-0005-0000-0000-0000F8060000}"/>
    <cellStyle name="Style 1112 2 2" xfId="842" xr:uid="{00000000-0005-0000-0000-0000F9060000}"/>
    <cellStyle name="Style 1112 2 2 2" xfId="8244" xr:uid="{2D557060-3AAA-47F2-8E44-BEBD72C5698C}"/>
    <cellStyle name="Style 1112 2 3" xfId="8243" xr:uid="{0E496964-9374-40A2-BC9E-DC8DDDD2A5DE}"/>
    <cellStyle name="Style 1112 3" xfId="603" xr:uid="{00000000-0005-0000-0000-0000FA060000}"/>
    <cellStyle name="Style 1112 3 2" xfId="1076" xr:uid="{00000000-0005-0000-0000-0000FB060000}"/>
    <cellStyle name="Style 1112 3 3" xfId="8245" xr:uid="{4377771D-A870-495E-8F8A-30D249EA220E}"/>
    <cellStyle name="Style 1112 4" xfId="1316" xr:uid="{00000000-0005-0000-0000-0000FC060000}"/>
    <cellStyle name="Style 1112 4 2" xfId="3300" xr:uid="{00000000-0005-0000-0000-0000FD060000}"/>
    <cellStyle name="Style 1112 4 3" xfId="8246" xr:uid="{8D98085B-2B63-4F89-BAC9-BEAF6A22C697}"/>
    <cellStyle name="Style 1112 5" xfId="1611" xr:uid="{00000000-0005-0000-0000-0000FE060000}"/>
    <cellStyle name="Style 1112 5 2" xfId="3538" xr:uid="{00000000-0005-0000-0000-0000FF060000}"/>
    <cellStyle name="Style 1112 6" xfId="1862" xr:uid="{00000000-0005-0000-0000-000000070000}"/>
    <cellStyle name="Style 1112 6 2" xfId="3772" xr:uid="{00000000-0005-0000-0000-000001070000}"/>
    <cellStyle name="Style 1112 7" xfId="2106" xr:uid="{00000000-0005-0000-0000-000002070000}"/>
    <cellStyle name="Style 1112 7 2" xfId="4007" xr:uid="{00000000-0005-0000-0000-000003070000}"/>
    <cellStyle name="Style 1112 8" xfId="2341" xr:uid="{00000000-0005-0000-0000-000004070000}"/>
    <cellStyle name="Style 1112 8 2" xfId="4242" xr:uid="{00000000-0005-0000-0000-000005070000}"/>
    <cellStyle name="Style 1112 9" xfId="2588" xr:uid="{00000000-0005-0000-0000-000006070000}"/>
    <cellStyle name="Style 1112 9 2" xfId="4477" xr:uid="{00000000-0005-0000-0000-000007070000}"/>
    <cellStyle name="Style 1113" xfId="136" xr:uid="{00000000-0005-0000-0000-000008070000}"/>
    <cellStyle name="Style 1113 10" xfId="2823" xr:uid="{00000000-0005-0000-0000-000009070000}"/>
    <cellStyle name="Style 1113 10 2" xfId="4712" xr:uid="{00000000-0005-0000-0000-00000A070000}"/>
    <cellStyle name="Style 1113 11" xfId="3060" xr:uid="{00000000-0005-0000-0000-00000B070000}"/>
    <cellStyle name="Style 1113 11 2" xfId="4946" xr:uid="{00000000-0005-0000-0000-00000C070000}"/>
    <cellStyle name="Style 1113 12" xfId="5182" xr:uid="{00000000-0005-0000-0000-00000D070000}"/>
    <cellStyle name="Style 1113 12 2" xfId="6642" xr:uid="{00000000-0005-0000-0000-00000D070000}"/>
    <cellStyle name="Style 1113 13" xfId="5447" xr:uid="{00000000-0005-0000-0000-00000E070000}"/>
    <cellStyle name="Style 1113 13 2" xfId="6871" xr:uid="{00000000-0005-0000-0000-00000E070000}"/>
    <cellStyle name="Style 1113 14" xfId="5642" xr:uid="{00000000-0005-0000-0000-00000F070000}"/>
    <cellStyle name="Style 1113 14 2" xfId="7062" xr:uid="{00000000-0005-0000-0000-00000F070000}"/>
    <cellStyle name="Style 1113 15" xfId="5765" xr:uid="{00000000-0005-0000-0000-000010070000}"/>
    <cellStyle name="Style 1113 15 2" xfId="7185" xr:uid="{00000000-0005-0000-0000-000010070000}"/>
    <cellStyle name="Style 1113 16" xfId="6019" xr:uid="{00000000-0005-0000-0000-000011070000}"/>
    <cellStyle name="Style 1113 16 2" xfId="7439" xr:uid="{00000000-0005-0000-0000-000011070000}"/>
    <cellStyle name="Style 1113 17" xfId="6256" xr:uid="{00000000-0005-0000-0000-000012070000}"/>
    <cellStyle name="Style 1113 17 2" xfId="7534" xr:uid="{00000000-0005-0000-0000-000012070000}"/>
    <cellStyle name="Style 1113 2" xfId="370" xr:uid="{00000000-0005-0000-0000-000013070000}"/>
    <cellStyle name="Style 1113 2 2" xfId="843" xr:uid="{00000000-0005-0000-0000-000014070000}"/>
    <cellStyle name="Style 1113 2 2 2" xfId="8248" xr:uid="{2E817E7C-8343-4917-9688-E09A6BA10189}"/>
    <cellStyle name="Style 1113 2 3" xfId="8247" xr:uid="{A42BEA0C-EE41-4551-A2D0-816A2F0829F2}"/>
    <cellStyle name="Style 1113 3" xfId="604" xr:uid="{00000000-0005-0000-0000-000015070000}"/>
    <cellStyle name="Style 1113 3 2" xfId="1077" xr:uid="{00000000-0005-0000-0000-000016070000}"/>
    <cellStyle name="Style 1113 3 3" xfId="8249" xr:uid="{D5FF88E0-1207-41E4-8F99-A88D551216FB}"/>
    <cellStyle name="Style 1113 4" xfId="1317" xr:uid="{00000000-0005-0000-0000-000017070000}"/>
    <cellStyle name="Style 1113 4 2" xfId="3301" xr:uid="{00000000-0005-0000-0000-000018070000}"/>
    <cellStyle name="Style 1113 4 3" xfId="8250" xr:uid="{BB46A875-8766-47EB-9EDE-72F6DA048473}"/>
    <cellStyle name="Style 1113 5" xfId="1612" xr:uid="{00000000-0005-0000-0000-000019070000}"/>
    <cellStyle name="Style 1113 5 2" xfId="3539" xr:uid="{00000000-0005-0000-0000-00001A070000}"/>
    <cellStyle name="Style 1113 6" xfId="1863" xr:uid="{00000000-0005-0000-0000-00001B070000}"/>
    <cellStyle name="Style 1113 6 2" xfId="3773" xr:uid="{00000000-0005-0000-0000-00001C070000}"/>
    <cellStyle name="Style 1113 7" xfId="2107" xr:uid="{00000000-0005-0000-0000-00001D070000}"/>
    <cellStyle name="Style 1113 7 2" xfId="4008" xr:uid="{00000000-0005-0000-0000-00001E070000}"/>
    <cellStyle name="Style 1113 8" xfId="2342" xr:uid="{00000000-0005-0000-0000-00001F070000}"/>
    <cellStyle name="Style 1113 8 2" xfId="4243" xr:uid="{00000000-0005-0000-0000-000020070000}"/>
    <cellStyle name="Style 1113 9" xfId="2589" xr:uid="{00000000-0005-0000-0000-000021070000}"/>
    <cellStyle name="Style 1113 9 2" xfId="4478" xr:uid="{00000000-0005-0000-0000-000022070000}"/>
    <cellStyle name="Style 1114" xfId="137" xr:uid="{00000000-0005-0000-0000-000023070000}"/>
    <cellStyle name="Style 1114 10" xfId="2824" xr:uid="{00000000-0005-0000-0000-000024070000}"/>
    <cellStyle name="Style 1114 10 2" xfId="4713" xr:uid="{00000000-0005-0000-0000-000025070000}"/>
    <cellStyle name="Style 1114 11" xfId="3061" xr:uid="{00000000-0005-0000-0000-000026070000}"/>
    <cellStyle name="Style 1114 11 2" xfId="4947" xr:uid="{00000000-0005-0000-0000-000027070000}"/>
    <cellStyle name="Style 1114 12" xfId="5183" xr:uid="{00000000-0005-0000-0000-000028070000}"/>
    <cellStyle name="Style 1114 12 2" xfId="6643" xr:uid="{00000000-0005-0000-0000-000028070000}"/>
    <cellStyle name="Style 1114 13" xfId="5448" xr:uid="{00000000-0005-0000-0000-000029070000}"/>
    <cellStyle name="Style 1114 13 2" xfId="6872" xr:uid="{00000000-0005-0000-0000-000029070000}"/>
    <cellStyle name="Style 1114 14" xfId="5643" xr:uid="{00000000-0005-0000-0000-00002A070000}"/>
    <cellStyle name="Style 1114 14 2" xfId="7063" xr:uid="{00000000-0005-0000-0000-00002A070000}"/>
    <cellStyle name="Style 1114 15" xfId="5766" xr:uid="{00000000-0005-0000-0000-00002B070000}"/>
    <cellStyle name="Style 1114 15 2" xfId="7186" xr:uid="{00000000-0005-0000-0000-00002B070000}"/>
    <cellStyle name="Style 1114 16" xfId="6020" xr:uid="{00000000-0005-0000-0000-00002C070000}"/>
    <cellStyle name="Style 1114 16 2" xfId="7440" xr:uid="{00000000-0005-0000-0000-00002C070000}"/>
    <cellStyle name="Style 1114 17" xfId="6257" xr:uid="{00000000-0005-0000-0000-00002D070000}"/>
    <cellStyle name="Style 1114 17 2" xfId="7535" xr:uid="{00000000-0005-0000-0000-00002D070000}"/>
    <cellStyle name="Style 1114 2" xfId="371" xr:uid="{00000000-0005-0000-0000-00002E070000}"/>
    <cellStyle name="Style 1114 2 2" xfId="844" xr:uid="{00000000-0005-0000-0000-00002F070000}"/>
    <cellStyle name="Style 1114 2 2 2" xfId="8253" xr:uid="{A0F445C0-F4F5-4404-A615-2A6E95C1B369}"/>
    <cellStyle name="Style 1114 2 3" xfId="8252" xr:uid="{288AAD40-9EF3-4E3C-ADC9-4FF2C4C5BA0B}"/>
    <cellStyle name="Style 1114 3" xfId="605" xr:uid="{00000000-0005-0000-0000-000030070000}"/>
    <cellStyle name="Style 1114 3 2" xfId="1078" xr:uid="{00000000-0005-0000-0000-000031070000}"/>
    <cellStyle name="Style 1114 3 3" xfId="8254" xr:uid="{1BA08548-66D5-48B7-831E-8F08157D3DFC}"/>
    <cellStyle name="Style 1114 4" xfId="1318" xr:uid="{00000000-0005-0000-0000-000032070000}"/>
    <cellStyle name="Style 1114 4 2" xfId="3302" xr:uid="{00000000-0005-0000-0000-000033070000}"/>
    <cellStyle name="Style 1114 4 3" xfId="8255" xr:uid="{AA940FFC-02A3-43B8-9225-1C4001A0DC29}"/>
    <cellStyle name="Style 1114 5" xfId="1613" xr:uid="{00000000-0005-0000-0000-000034070000}"/>
    <cellStyle name="Style 1114 5 2" xfId="3540" xr:uid="{00000000-0005-0000-0000-000035070000}"/>
    <cellStyle name="Style 1114 6" xfId="1864" xr:uid="{00000000-0005-0000-0000-000036070000}"/>
    <cellStyle name="Style 1114 6 2" xfId="3774" xr:uid="{00000000-0005-0000-0000-000037070000}"/>
    <cellStyle name="Style 1114 7" xfId="2108" xr:uid="{00000000-0005-0000-0000-000038070000}"/>
    <cellStyle name="Style 1114 7 2" xfId="4009" xr:uid="{00000000-0005-0000-0000-000039070000}"/>
    <cellStyle name="Style 1114 8" xfId="2343" xr:uid="{00000000-0005-0000-0000-00003A070000}"/>
    <cellStyle name="Style 1114 8 2" xfId="4244" xr:uid="{00000000-0005-0000-0000-00003B070000}"/>
    <cellStyle name="Style 1114 9" xfId="2590" xr:uid="{00000000-0005-0000-0000-00003C070000}"/>
    <cellStyle name="Style 1114 9 2" xfId="4479" xr:uid="{00000000-0005-0000-0000-00003D070000}"/>
    <cellStyle name="Style 1115" xfId="138" xr:uid="{00000000-0005-0000-0000-00003E070000}"/>
    <cellStyle name="Style 1115 10" xfId="2825" xr:uid="{00000000-0005-0000-0000-00003F070000}"/>
    <cellStyle name="Style 1115 10 2" xfId="4714" xr:uid="{00000000-0005-0000-0000-000040070000}"/>
    <cellStyle name="Style 1115 11" xfId="3062" xr:uid="{00000000-0005-0000-0000-000041070000}"/>
    <cellStyle name="Style 1115 11 2" xfId="4948" xr:uid="{00000000-0005-0000-0000-000042070000}"/>
    <cellStyle name="Style 1115 12" xfId="5184" xr:uid="{00000000-0005-0000-0000-000043070000}"/>
    <cellStyle name="Style 1115 12 2" xfId="6644" xr:uid="{00000000-0005-0000-0000-000043070000}"/>
    <cellStyle name="Style 1115 13" xfId="5449" xr:uid="{00000000-0005-0000-0000-000044070000}"/>
    <cellStyle name="Style 1115 13 2" xfId="6873" xr:uid="{00000000-0005-0000-0000-000044070000}"/>
    <cellStyle name="Style 1115 14" xfId="5644" xr:uid="{00000000-0005-0000-0000-000045070000}"/>
    <cellStyle name="Style 1115 14 2" xfId="7064" xr:uid="{00000000-0005-0000-0000-000045070000}"/>
    <cellStyle name="Style 1115 15" xfId="5767" xr:uid="{00000000-0005-0000-0000-000046070000}"/>
    <cellStyle name="Style 1115 15 2" xfId="7187" xr:uid="{00000000-0005-0000-0000-000046070000}"/>
    <cellStyle name="Style 1115 16" xfId="6021" xr:uid="{00000000-0005-0000-0000-000047070000}"/>
    <cellStyle name="Style 1115 16 2" xfId="7441" xr:uid="{00000000-0005-0000-0000-000047070000}"/>
    <cellStyle name="Style 1115 17" xfId="6258" xr:uid="{00000000-0005-0000-0000-000048070000}"/>
    <cellStyle name="Style 1115 17 2" xfId="7536" xr:uid="{00000000-0005-0000-0000-000048070000}"/>
    <cellStyle name="Style 1115 2" xfId="372" xr:uid="{00000000-0005-0000-0000-000049070000}"/>
    <cellStyle name="Style 1115 2 2" xfId="845" xr:uid="{00000000-0005-0000-0000-00004A070000}"/>
    <cellStyle name="Style 1115 2 2 2" xfId="8258" xr:uid="{54B207EC-4732-43A3-B59E-2218D848C09C}"/>
    <cellStyle name="Style 1115 2 3" xfId="8257" xr:uid="{C83D38F1-AF9E-4860-A64A-60ECB4BD8E45}"/>
    <cellStyle name="Style 1115 3" xfId="606" xr:uid="{00000000-0005-0000-0000-00004B070000}"/>
    <cellStyle name="Style 1115 3 2" xfId="1079" xr:uid="{00000000-0005-0000-0000-00004C070000}"/>
    <cellStyle name="Style 1115 3 3" xfId="8259" xr:uid="{D3BBD224-DF6C-4DA7-AA42-6BAE89BB08F0}"/>
    <cellStyle name="Style 1115 4" xfId="1319" xr:uid="{00000000-0005-0000-0000-00004D070000}"/>
    <cellStyle name="Style 1115 4 2" xfId="3303" xr:uid="{00000000-0005-0000-0000-00004E070000}"/>
    <cellStyle name="Style 1115 5" xfId="1614" xr:uid="{00000000-0005-0000-0000-00004F070000}"/>
    <cellStyle name="Style 1115 5 2" xfId="3541" xr:uid="{00000000-0005-0000-0000-000050070000}"/>
    <cellStyle name="Style 1115 6" xfId="1865" xr:uid="{00000000-0005-0000-0000-000051070000}"/>
    <cellStyle name="Style 1115 6 2" xfId="3775" xr:uid="{00000000-0005-0000-0000-000052070000}"/>
    <cellStyle name="Style 1115 7" xfId="2109" xr:uid="{00000000-0005-0000-0000-000053070000}"/>
    <cellStyle name="Style 1115 7 2" xfId="4010" xr:uid="{00000000-0005-0000-0000-000054070000}"/>
    <cellStyle name="Style 1115 8" xfId="2344" xr:uid="{00000000-0005-0000-0000-000055070000}"/>
    <cellStyle name="Style 1115 8 2" xfId="4245" xr:uid="{00000000-0005-0000-0000-000056070000}"/>
    <cellStyle name="Style 1115 9" xfId="2591" xr:uid="{00000000-0005-0000-0000-000057070000}"/>
    <cellStyle name="Style 1115 9 2" xfId="4480" xr:uid="{00000000-0005-0000-0000-000058070000}"/>
    <cellStyle name="Style 1129" xfId="139" xr:uid="{00000000-0005-0000-0000-000059070000}"/>
    <cellStyle name="Style 1129 10" xfId="2826" xr:uid="{00000000-0005-0000-0000-00005A070000}"/>
    <cellStyle name="Style 1129 10 2" xfId="4715" xr:uid="{00000000-0005-0000-0000-00005B070000}"/>
    <cellStyle name="Style 1129 11" xfId="3063" xr:uid="{00000000-0005-0000-0000-00005C070000}"/>
    <cellStyle name="Style 1129 11 2" xfId="4949" xr:uid="{00000000-0005-0000-0000-00005D070000}"/>
    <cellStyle name="Style 1129 12" xfId="5185" xr:uid="{00000000-0005-0000-0000-00005E070000}"/>
    <cellStyle name="Style 1129 12 2" xfId="6645" xr:uid="{00000000-0005-0000-0000-00005E070000}"/>
    <cellStyle name="Style 1129 13" xfId="5645" xr:uid="{00000000-0005-0000-0000-00005F070000}"/>
    <cellStyle name="Style 1129 13 2" xfId="7065" xr:uid="{00000000-0005-0000-0000-00005F070000}"/>
    <cellStyle name="Style 1129 14" xfId="5768" xr:uid="{00000000-0005-0000-0000-000060070000}"/>
    <cellStyle name="Style 1129 14 2" xfId="7188" xr:uid="{00000000-0005-0000-0000-000060070000}"/>
    <cellStyle name="Style 1129 15" xfId="6259" xr:uid="{00000000-0005-0000-0000-000061070000}"/>
    <cellStyle name="Style 1129 15 2" xfId="7537" xr:uid="{00000000-0005-0000-0000-000061070000}"/>
    <cellStyle name="Style 1129 2" xfId="373" xr:uid="{00000000-0005-0000-0000-000062070000}"/>
    <cellStyle name="Style 1129 2 2" xfId="846" xr:uid="{00000000-0005-0000-0000-000063070000}"/>
    <cellStyle name="Style 1129 2 3" xfId="8260" xr:uid="{496A7F9B-89C9-4051-AFC1-182273438B8C}"/>
    <cellStyle name="Style 1129 3" xfId="607" xr:uid="{00000000-0005-0000-0000-000064070000}"/>
    <cellStyle name="Style 1129 3 2" xfId="1080" xr:uid="{00000000-0005-0000-0000-000065070000}"/>
    <cellStyle name="Style 1129 3 3" xfId="8261" xr:uid="{646FE36A-3955-4CCB-AD21-43BB13A4DA63}"/>
    <cellStyle name="Style 1129 4" xfId="1320" xr:uid="{00000000-0005-0000-0000-000066070000}"/>
    <cellStyle name="Style 1129 4 2" xfId="3304" xr:uid="{00000000-0005-0000-0000-000067070000}"/>
    <cellStyle name="Style 1129 5" xfId="1615" xr:uid="{00000000-0005-0000-0000-000068070000}"/>
    <cellStyle name="Style 1129 5 2" xfId="3542" xr:uid="{00000000-0005-0000-0000-000069070000}"/>
    <cellStyle name="Style 1129 6" xfId="1866" xr:uid="{00000000-0005-0000-0000-00006A070000}"/>
    <cellStyle name="Style 1129 6 2" xfId="3776" xr:uid="{00000000-0005-0000-0000-00006B070000}"/>
    <cellStyle name="Style 1129 7" xfId="2110" xr:uid="{00000000-0005-0000-0000-00006C070000}"/>
    <cellStyle name="Style 1129 7 2" xfId="4011" xr:uid="{00000000-0005-0000-0000-00006D070000}"/>
    <cellStyle name="Style 1129 8" xfId="2345" xr:uid="{00000000-0005-0000-0000-00006E070000}"/>
    <cellStyle name="Style 1129 8 2" xfId="4246" xr:uid="{00000000-0005-0000-0000-00006F070000}"/>
    <cellStyle name="Style 1129 9" xfId="2592" xr:uid="{00000000-0005-0000-0000-000070070000}"/>
    <cellStyle name="Style 1129 9 2" xfId="4481" xr:uid="{00000000-0005-0000-0000-000071070000}"/>
    <cellStyle name="Style 1130" xfId="140" xr:uid="{00000000-0005-0000-0000-000072070000}"/>
    <cellStyle name="Style 1130 10" xfId="2827" xr:uid="{00000000-0005-0000-0000-000073070000}"/>
    <cellStyle name="Style 1130 10 2" xfId="4716" xr:uid="{00000000-0005-0000-0000-000074070000}"/>
    <cellStyle name="Style 1130 11" xfId="3064" xr:uid="{00000000-0005-0000-0000-000075070000}"/>
    <cellStyle name="Style 1130 11 2" xfId="4950" xr:uid="{00000000-0005-0000-0000-000076070000}"/>
    <cellStyle name="Style 1130 12" xfId="5186" xr:uid="{00000000-0005-0000-0000-000077070000}"/>
    <cellStyle name="Style 1130 12 2" xfId="6646" xr:uid="{00000000-0005-0000-0000-000077070000}"/>
    <cellStyle name="Style 1130 13" xfId="5646" xr:uid="{00000000-0005-0000-0000-000078070000}"/>
    <cellStyle name="Style 1130 13 2" xfId="7066" xr:uid="{00000000-0005-0000-0000-000078070000}"/>
    <cellStyle name="Style 1130 14" xfId="5769" xr:uid="{00000000-0005-0000-0000-000079070000}"/>
    <cellStyle name="Style 1130 14 2" xfId="7189" xr:uid="{00000000-0005-0000-0000-000079070000}"/>
    <cellStyle name="Style 1130 15" xfId="6260" xr:uid="{00000000-0005-0000-0000-00007A070000}"/>
    <cellStyle name="Style 1130 15 2" xfId="7538" xr:uid="{00000000-0005-0000-0000-00007A070000}"/>
    <cellStyle name="Style 1130 2" xfId="374" xr:uid="{00000000-0005-0000-0000-00007B070000}"/>
    <cellStyle name="Style 1130 2 2" xfId="847" xr:uid="{00000000-0005-0000-0000-00007C070000}"/>
    <cellStyle name="Style 1130 2 3" xfId="8262" xr:uid="{E125A011-E6BD-4B42-9CD2-9A225B87FA41}"/>
    <cellStyle name="Style 1130 3" xfId="608" xr:uid="{00000000-0005-0000-0000-00007D070000}"/>
    <cellStyle name="Style 1130 3 2" xfId="1081" xr:uid="{00000000-0005-0000-0000-00007E070000}"/>
    <cellStyle name="Style 1130 3 3" xfId="8263" xr:uid="{3C9F1E66-6AB1-432A-81E6-CE661CEBA019}"/>
    <cellStyle name="Style 1130 4" xfId="1321" xr:uid="{00000000-0005-0000-0000-00007F070000}"/>
    <cellStyle name="Style 1130 4 2" xfId="3305" xr:uid="{00000000-0005-0000-0000-000080070000}"/>
    <cellStyle name="Style 1130 5" xfId="1616" xr:uid="{00000000-0005-0000-0000-000081070000}"/>
    <cellStyle name="Style 1130 5 2" xfId="3543" xr:uid="{00000000-0005-0000-0000-000082070000}"/>
    <cellStyle name="Style 1130 6" xfId="1867" xr:uid="{00000000-0005-0000-0000-000083070000}"/>
    <cellStyle name="Style 1130 6 2" xfId="3777" xr:uid="{00000000-0005-0000-0000-000084070000}"/>
    <cellStyle name="Style 1130 7" xfId="2111" xr:uid="{00000000-0005-0000-0000-000085070000}"/>
    <cellStyle name="Style 1130 7 2" xfId="4012" xr:uid="{00000000-0005-0000-0000-000086070000}"/>
    <cellStyle name="Style 1130 8" xfId="2346" xr:uid="{00000000-0005-0000-0000-000087070000}"/>
    <cellStyle name="Style 1130 8 2" xfId="4247" xr:uid="{00000000-0005-0000-0000-000088070000}"/>
    <cellStyle name="Style 1130 9" xfId="2593" xr:uid="{00000000-0005-0000-0000-000089070000}"/>
    <cellStyle name="Style 1130 9 2" xfId="4482" xr:uid="{00000000-0005-0000-0000-00008A070000}"/>
    <cellStyle name="Style 1134" xfId="141" xr:uid="{00000000-0005-0000-0000-00008B070000}"/>
    <cellStyle name="Style 1134 10" xfId="2828" xr:uid="{00000000-0005-0000-0000-00008C070000}"/>
    <cellStyle name="Style 1134 10 2" xfId="4717" xr:uid="{00000000-0005-0000-0000-00008D070000}"/>
    <cellStyle name="Style 1134 11" xfId="3065" xr:uid="{00000000-0005-0000-0000-00008E070000}"/>
    <cellStyle name="Style 1134 11 2" xfId="4951" xr:uid="{00000000-0005-0000-0000-00008F070000}"/>
    <cellStyle name="Style 1134 12" xfId="5187" xr:uid="{00000000-0005-0000-0000-000090070000}"/>
    <cellStyle name="Style 1134 12 2" xfId="6647" xr:uid="{00000000-0005-0000-0000-000090070000}"/>
    <cellStyle name="Style 1134 13" xfId="5647" xr:uid="{00000000-0005-0000-0000-000091070000}"/>
    <cellStyle name="Style 1134 13 2" xfId="7067" xr:uid="{00000000-0005-0000-0000-000091070000}"/>
    <cellStyle name="Style 1134 14" xfId="5770" xr:uid="{00000000-0005-0000-0000-000092070000}"/>
    <cellStyle name="Style 1134 14 2" xfId="7190" xr:uid="{00000000-0005-0000-0000-000092070000}"/>
    <cellStyle name="Style 1134 15" xfId="6261" xr:uid="{00000000-0005-0000-0000-000093070000}"/>
    <cellStyle name="Style 1134 15 2" xfId="7539" xr:uid="{00000000-0005-0000-0000-000093070000}"/>
    <cellStyle name="Style 1134 2" xfId="375" xr:uid="{00000000-0005-0000-0000-000094070000}"/>
    <cellStyle name="Style 1134 2 2" xfId="848" xr:uid="{00000000-0005-0000-0000-000095070000}"/>
    <cellStyle name="Style 1134 2 3" xfId="8264" xr:uid="{87F0743E-66E5-4094-9DAF-2A999AB5CDE8}"/>
    <cellStyle name="Style 1134 3" xfId="609" xr:uid="{00000000-0005-0000-0000-000096070000}"/>
    <cellStyle name="Style 1134 3 2" xfId="1082" xr:uid="{00000000-0005-0000-0000-000097070000}"/>
    <cellStyle name="Style 1134 3 3" xfId="8265" xr:uid="{71B08311-C978-48E9-8BCE-F3A276E17491}"/>
    <cellStyle name="Style 1134 4" xfId="1322" xr:uid="{00000000-0005-0000-0000-000098070000}"/>
    <cellStyle name="Style 1134 4 2" xfId="3306" xr:uid="{00000000-0005-0000-0000-000099070000}"/>
    <cellStyle name="Style 1134 5" xfId="1617" xr:uid="{00000000-0005-0000-0000-00009A070000}"/>
    <cellStyle name="Style 1134 5 2" xfId="3544" xr:uid="{00000000-0005-0000-0000-00009B070000}"/>
    <cellStyle name="Style 1134 6" xfId="1868" xr:uid="{00000000-0005-0000-0000-00009C070000}"/>
    <cellStyle name="Style 1134 6 2" xfId="3778" xr:uid="{00000000-0005-0000-0000-00009D070000}"/>
    <cellStyle name="Style 1134 7" xfId="2112" xr:uid="{00000000-0005-0000-0000-00009E070000}"/>
    <cellStyle name="Style 1134 7 2" xfId="4013" xr:uid="{00000000-0005-0000-0000-00009F070000}"/>
    <cellStyle name="Style 1134 8" xfId="2347" xr:uid="{00000000-0005-0000-0000-0000A0070000}"/>
    <cellStyle name="Style 1134 8 2" xfId="4248" xr:uid="{00000000-0005-0000-0000-0000A1070000}"/>
    <cellStyle name="Style 1134 9" xfId="2594" xr:uid="{00000000-0005-0000-0000-0000A2070000}"/>
    <cellStyle name="Style 1134 9 2" xfId="4483" xr:uid="{00000000-0005-0000-0000-0000A3070000}"/>
    <cellStyle name="Style 1177" xfId="142" xr:uid="{00000000-0005-0000-0000-0000A4070000}"/>
    <cellStyle name="Style 1177 10" xfId="2829" xr:uid="{00000000-0005-0000-0000-0000A5070000}"/>
    <cellStyle name="Style 1177 10 2" xfId="4718" xr:uid="{00000000-0005-0000-0000-0000A6070000}"/>
    <cellStyle name="Style 1177 11" xfId="3066" xr:uid="{00000000-0005-0000-0000-0000A7070000}"/>
    <cellStyle name="Style 1177 11 2" xfId="4952" xr:uid="{00000000-0005-0000-0000-0000A8070000}"/>
    <cellStyle name="Style 1177 12" xfId="5188" xr:uid="{00000000-0005-0000-0000-0000A9070000}"/>
    <cellStyle name="Style 1177 12 2" xfId="6648" xr:uid="{00000000-0005-0000-0000-0000A9070000}"/>
    <cellStyle name="Style 1177 13" xfId="5450" xr:uid="{00000000-0005-0000-0000-0000AA070000}"/>
    <cellStyle name="Style 1177 13 2" xfId="6874" xr:uid="{00000000-0005-0000-0000-0000AA070000}"/>
    <cellStyle name="Style 1177 14" xfId="5771" xr:uid="{00000000-0005-0000-0000-0000AB070000}"/>
    <cellStyle name="Style 1177 14 2" xfId="7191" xr:uid="{00000000-0005-0000-0000-0000AB070000}"/>
    <cellStyle name="Style 1177 15" xfId="6262" xr:uid="{00000000-0005-0000-0000-0000AC070000}"/>
    <cellStyle name="Style 1177 15 2" xfId="7540" xr:uid="{00000000-0005-0000-0000-0000AC070000}"/>
    <cellStyle name="Style 1177 2" xfId="376" xr:uid="{00000000-0005-0000-0000-0000AD070000}"/>
    <cellStyle name="Style 1177 2 2" xfId="849" xr:uid="{00000000-0005-0000-0000-0000AE070000}"/>
    <cellStyle name="Style 1177 2 2 2" xfId="8267" xr:uid="{A6B5B6E9-DFF0-4113-8B2F-434C7B040210}"/>
    <cellStyle name="Style 1177 2 3" xfId="8266" xr:uid="{E49A3320-199D-49C8-A640-9E22957ADAD5}"/>
    <cellStyle name="Style 1177 3" xfId="610" xr:uid="{00000000-0005-0000-0000-0000AF070000}"/>
    <cellStyle name="Style 1177 3 2" xfId="1083" xr:uid="{00000000-0005-0000-0000-0000B0070000}"/>
    <cellStyle name="Style 1177 3 3" xfId="8268" xr:uid="{58FCAF8B-0ED9-4C62-92BF-87821DA76F3E}"/>
    <cellStyle name="Style 1177 4" xfId="1323" xr:uid="{00000000-0005-0000-0000-0000B1070000}"/>
    <cellStyle name="Style 1177 4 2" xfId="3307" xr:uid="{00000000-0005-0000-0000-0000B2070000}"/>
    <cellStyle name="Style 1177 4 3" xfId="8269" xr:uid="{C4AA535B-FAD8-487D-A8FC-F923A6DFF3EC}"/>
    <cellStyle name="Style 1177 5" xfId="1618" xr:uid="{00000000-0005-0000-0000-0000B3070000}"/>
    <cellStyle name="Style 1177 5 2" xfId="3545" xr:uid="{00000000-0005-0000-0000-0000B4070000}"/>
    <cellStyle name="Style 1177 6" xfId="1869" xr:uid="{00000000-0005-0000-0000-0000B5070000}"/>
    <cellStyle name="Style 1177 6 2" xfId="3779" xr:uid="{00000000-0005-0000-0000-0000B6070000}"/>
    <cellStyle name="Style 1177 7" xfId="2113" xr:uid="{00000000-0005-0000-0000-0000B7070000}"/>
    <cellStyle name="Style 1177 7 2" xfId="4014" xr:uid="{00000000-0005-0000-0000-0000B8070000}"/>
    <cellStyle name="Style 1177 8" xfId="2348" xr:uid="{00000000-0005-0000-0000-0000B9070000}"/>
    <cellStyle name="Style 1177 8 2" xfId="4249" xr:uid="{00000000-0005-0000-0000-0000BA070000}"/>
    <cellStyle name="Style 1177 9" xfId="2595" xr:uid="{00000000-0005-0000-0000-0000BB070000}"/>
    <cellStyle name="Style 1177 9 2" xfId="4484" xr:uid="{00000000-0005-0000-0000-0000BC070000}"/>
    <cellStyle name="Style 1178" xfId="143" xr:uid="{00000000-0005-0000-0000-0000BD070000}"/>
    <cellStyle name="Style 1178 10" xfId="2830" xr:uid="{00000000-0005-0000-0000-0000BE070000}"/>
    <cellStyle name="Style 1178 10 2" xfId="4719" xr:uid="{00000000-0005-0000-0000-0000BF070000}"/>
    <cellStyle name="Style 1178 11" xfId="3067" xr:uid="{00000000-0005-0000-0000-0000C0070000}"/>
    <cellStyle name="Style 1178 11 2" xfId="4953" xr:uid="{00000000-0005-0000-0000-0000C1070000}"/>
    <cellStyle name="Style 1178 12" xfId="5189" xr:uid="{00000000-0005-0000-0000-0000C2070000}"/>
    <cellStyle name="Style 1178 12 2" xfId="6649" xr:uid="{00000000-0005-0000-0000-0000C2070000}"/>
    <cellStyle name="Style 1178 13" xfId="5451" xr:uid="{00000000-0005-0000-0000-0000C3070000}"/>
    <cellStyle name="Style 1178 13 2" xfId="6875" xr:uid="{00000000-0005-0000-0000-0000C3070000}"/>
    <cellStyle name="Style 1178 14" xfId="5772" xr:uid="{00000000-0005-0000-0000-0000C4070000}"/>
    <cellStyle name="Style 1178 14 2" xfId="7192" xr:uid="{00000000-0005-0000-0000-0000C4070000}"/>
    <cellStyle name="Style 1178 15" xfId="6263" xr:uid="{00000000-0005-0000-0000-0000C5070000}"/>
    <cellStyle name="Style 1178 15 2" xfId="7541" xr:uid="{00000000-0005-0000-0000-0000C5070000}"/>
    <cellStyle name="Style 1178 2" xfId="377" xr:uid="{00000000-0005-0000-0000-0000C6070000}"/>
    <cellStyle name="Style 1178 2 2" xfId="850" xr:uid="{00000000-0005-0000-0000-0000C7070000}"/>
    <cellStyle name="Style 1178 2 2 2" xfId="8271" xr:uid="{F8897643-6041-41B4-B44E-513EFAE9BBA7}"/>
    <cellStyle name="Style 1178 2 3" xfId="8270" xr:uid="{674B898F-E045-4BD1-B898-73BC551A5854}"/>
    <cellStyle name="Style 1178 3" xfId="611" xr:uid="{00000000-0005-0000-0000-0000C8070000}"/>
    <cellStyle name="Style 1178 3 2" xfId="1084" xr:uid="{00000000-0005-0000-0000-0000C9070000}"/>
    <cellStyle name="Style 1178 3 3" xfId="8272" xr:uid="{EA4AD71E-7F14-448C-8949-9812AD2BE852}"/>
    <cellStyle name="Style 1178 4" xfId="1324" xr:uid="{00000000-0005-0000-0000-0000CA070000}"/>
    <cellStyle name="Style 1178 4 2" xfId="3308" xr:uid="{00000000-0005-0000-0000-0000CB070000}"/>
    <cellStyle name="Style 1178 4 3" xfId="8273" xr:uid="{7F4D13C8-BA4D-4CD2-ADD8-86C101E8D497}"/>
    <cellStyle name="Style 1178 5" xfId="1619" xr:uid="{00000000-0005-0000-0000-0000CC070000}"/>
    <cellStyle name="Style 1178 5 2" xfId="3546" xr:uid="{00000000-0005-0000-0000-0000CD070000}"/>
    <cellStyle name="Style 1178 6" xfId="1870" xr:uid="{00000000-0005-0000-0000-0000CE070000}"/>
    <cellStyle name="Style 1178 6 2" xfId="3780" xr:uid="{00000000-0005-0000-0000-0000CF070000}"/>
    <cellStyle name="Style 1178 7" xfId="2114" xr:uid="{00000000-0005-0000-0000-0000D0070000}"/>
    <cellStyle name="Style 1178 7 2" xfId="4015" xr:uid="{00000000-0005-0000-0000-0000D1070000}"/>
    <cellStyle name="Style 1178 8" xfId="2349" xr:uid="{00000000-0005-0000-0000-0000D2070000}"/>
    <cellStyle name="Style 1178 8 2" xfId="4250" xr:uid="{00000000-0005-0000-0000-0000D3070000}"/>
    <cellStyle name="Style 1178 9" xfId="2596" xr:uid="{00000000-0005-0000-0000-0000D4070000}"/>
    <cellStyle name="Style 1178 9 2" xfId="4485" xr:uid="{00000000-0005-0000-0000-0000D5070000}"/>
    <cellStyle name="Style 1179" xfId="144" xr:uid="{00000000-0005-0000-0000-0000D6070000}"/>
    <cellStyle name="Style 1179 10" xfId="2831" xr:uid="{00000000-0005-0000-0000-0000D7070000}"/>
    <cellStyle name="Style 1179 10 2" xfId="4720" xr:uid="{00000000-0005-0000-0000-0000D8070000}"/>
    <cellStyle name="Style 1179 11" xfId="3068" xr:uid="{00000000-0005-0000-0000-0000D9070000}"/>
    <cellStyle name="Style 1179 11 2" xfId="4954" xr:uid="{00000000-0005-0000-0000-0000DA070000}"/>
    <cellStyle name="Style 1179 12" xfId="5190" xr:uid="{00000000-0005-0000-0000-0000DB070000}"/>
    <cellStyle name="Style 1179 12 2" xfId="6650" xr:uid="{00000000-0005-0000-0000-0000DB070000}"/>
    <cellStyle name="Style 1179 13" xfId="5452" xr:uid="{00000000-0005-0000-0000-0000DC070000}"/>
    <cellStyle name="Style 1179 13 2" xfId="6876" xr:uid="{00000000-0005-0000-0000-0000DC070000}"/>
    <cellStyle name="Style 1179 14" xfId="5773" xr:uid="{00000000-0005-0000-0000-0000DD070000}"/>
    <cellStyle name="Style 1179 14 2" xfId="7193" xr:uid="{00000000-0005-0000-0000-0000DD070000}"/>
    <cellStyle name="Style 1179 15" xfId="6264" xr:uid="{00000000-0005-0000-0000-0000DE070000}"/>
    <cellStyle name="Style 1179 15 2" xfId="7542" xr:uid="{00000000-0005-0000-0000-0000DE070000}"/>
    <cellStyle name="Style 1179 2" xfId="378" xr:uid="{00000000-0005-0000-0000-0000DF070000}"/>
    <cellStyle name="Style 1179 2 2" xfId="851" xr:uid="{00000000-0005-0000-0000-0000E0070000}"/>
    <cellStyle name="Style 1179 2 2 2" xfId="8275" xr:uid="{4B5C3066-FE74-473D-B0E2-1E00C451B661}"/>
    <cellStyle name="Style 1179 2 3" xfId="8274" xr:uid="{604B7A56-1383-4995-8FF9-0EC5B18E59E2}"/>
    <cellStyle name="Style 1179 3" xfId="612" xr:uid="{00000000-0005-0000-0000-0000E1070000}"/>
    <cellStyle name="Style 1179 3 2" xfId="1085" xr:uid="{00000000-0005-0000-0000-0000E2070000}"/>
    <cellStyle name="Style 1179 3 3" xfId="8276" xr:uid="{DC4F52BD-5A9C-4D7F-90BE-01CE8FE3ACCA}"/>
    <cellStyle name="Style 1179 4" xfId="1325" xr:uid="{00000000-0005-0000-0000-0000E3070000}"/>
    <cellStyle name="Style 1179 4 2" xfId="3309" xr:uid="{00000000-0005-0000-0000-0000E4070000}"/>
    <cellStyle name="Style 1179 4 3" xfId="8277" xr:uid="{04D830E5-D119-4C95-A068-57D145B7B218}"/>
    <cellStyle name="Style 1179 5" xfId="1620" xr:uid="{00000000-0005-0000-0000-0000E5070000}"/>
    <cellStyle name="Style 1179 5 2" xfId="3547" xr:uid="{00000000-0005-0000-0000-0000E6070000}"/>
    <cellStyle name="Style 1179 6" xfId="1871" xr:uid="{00000000-0005-0000-0000-0000E7070000}"/>
    <cellStyle name="Style 1179 6 2" xfId="3781" xr:uid="{00000000-0005-0000-0000-0000E8070000}"/>
    <cellStyle name="Style 1179 7" xfId="2115" xr:uid="{00000000-0005-0000-0000-0000E9070000}"/>
    <cellStyle name="Style 1179 7 2" xfId="4016" xr:uid="{00000000-0005-0000-0000-0000EA070000}"/>
    <cellStyle name="Style 1179 8" xfId="2350" xr:uid="{00000000-0005-0000-0000-0000EB070000}"/>
    <cellStyle name="Style 1179 8 2" xfId="4251" xr:uid="{00000000-0005-0000-0000-0000EC070000}"/>
    <cellStyle name="Style 1179 9" xfId="2597" xr:uid="{00000000-0005-0000-0000-0000ED070000}"/>
    <cellStyle name="Style 1179 9 2" xfId="4486" xr:uid="{00000000-0005-0000-0000-0000EE070000}"/>
    <cellStyle name="Style 1180" xfId="145" xr:uid="{00000000-0005-0000-0000-0000EF070000}"/>
    <cellStyle name="Style 1180 10" xfId="2832" xr:uid="{00000000-0005-0000-0000-0000F0070000}"/>
    <cellStyle name="Style 1180 10 2" xfId="4721" xr:uid="{00000000-0005-0000-0000-0000F1070000}"/>
    <cellStyle name="Style 1180 11" xfId="3069" xr:uid="{00000000-0005-0000-0000-0000F2070000}"/>
    <cellStyle name="Style 1180 11 2" xfId="4955" xr:uid="{00000000-0005-0000-0000-0000F3070000}"/>
    <cellStyle name="Style 1180 12" xfId="5191" xr:uid="{00000000-0005-0000-0000-0000F4070000}"/>
    <cellStyle name="Style 1180 12 2" xfId="6651" xr:uid="{00000000-0005-0000-0000-0000F4070000}"/>
    <cellStyle name="Style 1180 13" xfId="5453" xr:uid="{00000000-0005-0000-0000-0000F5070000}"/>
    <cellStyle name="Style 1180 13 2" xfId="6877" xr:uid="{00000000-0005-0000-0000-0000F5070000}"/>
    <cellStyle name="Style 1180 14" xfId="5774" xr:uid="{00000000-0005-0000-0000-0000F6070000}"/>
    <cellStyle name="Style 1180 14 2" xfId="7194" xr:uid="{00000000-0005-0000-0000-0000F6070000}"/>
    <cellStyle name="Style 1180 15" xfId="6265" xr:uid="{00000000-0005-0000-0000-0000F7070000}"/>
    <cellStyle name="Style 1180 15 2" xfId="7543" xr:uid="{00000000-0005-0000-0000-0000F7070000}"/>
    <cellStyle name="Style 1180 2" xfId="379" xr:uid="{00000000-0005-0000-0000-0000F8070000}"/>
    <cellStyle name="Style 1180 2 2" xfId="852" xr:uid="{00000000-0005-0000-0000-0000F9070000}"/>
    <cellStyle name="Style 1180 2 2 2" xfId="8279" xr:uid="{81AB7DA2-F27B-4C1B-9790-2848E3D7B4F8}"/>
    <cellStyle name="Style 1180 2 3" xfId="8278" xr:uid="{7302F45A-A79B-4841-961B-BBF5F254EC0F}"/>
    <cellStyle name="Style 1180 3" xfId="613" xr:uid="{00000000-0005-0000-0000-0000FA070000}"/>
    <cellStyle name="Style 1180 3 2" xfId="1086" xr:uid="{00000000-0005-0000-0000-0000FB070000}"/>
    <cellStyle name="Style 1180 3 3" xfId="8280" xr:uid="{48238BB9-A7DA-4D1C-90C0-8985FC6FEAD9}"/>
    <cellStyle name="Style 1180 4" xfId="1326" xr:uid="{00000000-0005-0000-0000-0000FC070000}"/>
    <cellStyle name="Style 1180 4 2" xfId="3310" xr:uid="{00000000-0005-0000-0000-0000FD070000}"/>
    <cellStyle name="Style 1180 4 3" xfId="8281" xr:uid="{783B796D-18E4-4528-BB27-02A28AB52911}"/>
    <cellStyle name="Style 1180 5" xfId="1621" xr:uid="{00000000-0005-0000-0000-0000FE070000}"/>
    <cellStyle name="Style 1180 5 2" xfId="3548" xr:uid="{00000000-0005-0000-0000-0000FF070000}"/>
    <cellStyle name="Style 1180 6" xfId="1872" xr:uid="{00000000-0005-0000-0000-000000080000}"/>
    <cellStyle name="Style 1180 6 2" xfId="3782" xr:uid="{00000000-0005-0000-0000-000001080000}"/>
    <cellStyle name="Style 1180 7" xfId="2116" xr:uid="{00000000-0005-0000-0000-000002080000}"/>
    <cellStyle name="Style 1180 7 2" xfId="4017" xr:uid="{00000000-0005-0000-0000-000003080000}"/>
    <cellStyle name="Style 1180 8" xfId="2351" xr:uid="{00000000-0005-0000-0000-000004080000}"/>
    <cellStyle name="Style 1180 8 2" xfId="4252" xr:uid="{00000000-0005-0000-0000-000005080000}"/>
    <cellStyle name="Style 1180 9" xfId="2598" xr:uid="{00000000-0005-0000-0000-000006080000}"/>
    <cellStyle name="Style 1180 9 2" xfId="4487" xr:uid="{00000000-0005-0000-0000-000007080000}"/>
    <cellStyle name="Style 1181" xfId="146" xr:uid="{00000000-0005-0000-0000-000008080000}"/>
    <cellStyle name="Style 1181 10" xfId="2833" xr:uid="{00000000-0005-0000-0000-000009080000}"/>
    <cellStyle name="Style 1181 10 2" xfId="4722" xr:uid="{00000000-0005-0000-0000-00000A080000}"/>
    <cellStyle name="Style 1181 11" xfId="3070" xr:uid="{00000000-0005-0000-0000-00000B080000}"/>
    <cellStyle name="Style 1181 11 2" xfId="4956" xr:uid="{00000000-0005-0000-0000-00000C080000}"/>
    <cellStyle name="Style 1181 12" xfId="5192" xr:uid="{00000000-0005-0000-0000-00000D080000}"/>
    <cellStyle name="Style 1181 12 2" xfId="6652" xr:uid="{00000000-0005-0000-0000-00000D080000}"/>
    <cellStyle name="Style 1181 13" xfId="5454" xr:uid="{00000000-0005-0000-0000-00000E080000}"/>
    <cellStyle name="Style 1181 13 2" xfId="6878" xr:uid="{00000000-0005-0000-0000-00000E080000}"/>
    <cellStyle name="Style 1181 14" xfId="5775" xr:uid="{00000000-0005-0000-0000-00000F080000}"/>
    <cellStyle name="Style 1181 14 2" xfId="7195" xr:uid="{00000000-0005-0000-0000-00000F080000}"/>
    <cellStyle name="Style 1181 15" xfId="6266" xr:uid="{00000000-0005-0000-0000-000010080000}"/>
    <cellStyle name="Style 1181 15 2" xfId="7544" xr:uid="{00000000-0005-0000-0000-000010080000}"/>
    <cellStyle name="Style 1181 2" xfId="380" xr:uid="{00000000-0005-0000-0000-000011080000}"/>
    <cellStyle name="Style 1181 2 2" xfId="853" xr:uid="{00000000-0005-0000-0000-000012080000}"/>
    <cellStyle name="Style 1181 2 2 2" xfId="8283" xr:uid="{16D22313-D83E-4AEB-8C75-CAB97A8444B7}"/>
    <cellStyle name="Style 1181 2 3" xfId="8282" xr:uid="{58C28109-0347-42A6-A28F-391B795243A4}"/>
    <cellStyle name="Style 1181 3" xfId="614" xr:uid="{00000000-0005-0000-0000-000013080000}"/>
    <cellStyle name="Style 1181 3 2" xfId="1087" xr:uid="{00000000-0005-0000-0000-000014080000}"/>
    <cellStyle name="Style 1181 3 3" xfId="8284" xr:uid="{3894D17D-8624-4FF4-BB6B-D9AB595D6B30}"/>
    <cellStyle name="Style 1181 4" xfId="1327" xr:uid="{00000000-0005-0000-0000-000015080000}"/>
    <cellStyle name="Style 1181 4 2" xfId="3311" xr:uid="{00000000-0005-0000-0000-000016080000}"/>
    <cellStyle name="Style 1181 4 3" xfId="8285" xr:uid="{A5382D50-1912-4370-8948-DE5114312E11}"/>
    <cellStyle name="Style 1181 5" xfId="1622" xr:uid="{00000000-0005-0000-0000-000017080000}"/>
    <cellStyle name="Style 1181 5 2" xfId="3549" xr:uid="{00000000-0005-0000-0000-000018080000}"/>
    <cellStyle name="Style 1181 6" xfId="1873" xr:uid="{00000000-0005-0000-0000-000019080000}"/>
    <cellStyle name="Style 1181 6 2" xfId="3783" xr:uid="{00000000-0005-0000-0000-00001A080000}"/>
    <cellStyle name="Style 1181 7" xfId="2117" xr:uid="{00000000-0005-0000-0000-00001B080000}"/>
    <cellStyle name="Style 1181 7 2" xfId="4018" xr:uid="{00000000-0005-0000-0000-00001C080000}"/>
    <cellStyle name="Style 1181 8" xfId="2352" xr:uid="{00000000-0005-0000-0000-00001D080000}"/>
    <cellStyle name="Style 1181 8 2" xfId="4253" xr:uid="{00000000-0005-0000-0000-00001E080000}"/>
    <cellStyle name="Style 1181 9" xfId="2599" xr:uid="{00000000-0005-0000-0000-00001F080000}"/>
    <cellStyle name="Style 1181 9 2" xfId="4488" xr:uid="{00000000-0005-0000-0000-000020080000}"/>
    <cellStyle name="Style 1182" xfId="147" xr:uid="{00000000-0005-0000-0000-000021080000}"/>
    <cellStyle name="Style 1182 10" xfId="2834" xr:uid="{00000000-0005-0000-0000-000022080000}"/>
    <cellStyle name="Style 1182 10 2" xfId="4723" xr:uid="{00000000-0005-0000-0000-000023080000}"/>
    <cellStyle name="Style 1182 11" xfId="3071" xr:uid="{00000000-0005-0000-0000-000024080000}"/>
    <cellStyle name="Style 1182 11 2" xfId="4957" xr:uid="{00000000-0005-0000-0000-000025080000}"/>
    <cellStyle name="Style 1182 12" xfId="5193" xr:uid="{00000000-0005-0000-0000-000026080000}"/>
    <cellStyle name="Style 1182 12 2" xfId="6653" xr:uid="{00000000-0005-0000-0000-000026080000}"/>
    <cellStyle name="Style 1182 13" xfId="5455" xr:uid="{00000000-0005-0000-0000-000027080000}"/>
    <cellStyle name="Style 1182 13 2" xfId="6879" xr:uid="{00000000-0005-0000-0000-000027080000}"/>
    <cellStyle name="Style 1182 14" xfId="5776" xr:uid="{00000000-0005-0000-0000-000028080000}"/>
    <cellStyle name="Style 1182 14 2" xfId="7196" xr:uid="{00000000-0005-0000-0000-000028080000}"/>
    <cellStyle name="Style 1182 15" xfId="6267" xr:uid="{00000000-0005-0000-0000-000029080000}"/>
    <cellStyle name="Style 1182 15 2" xfId="7545" xr:uid="{00000000-0005-0000-0000-000029080000}"/>
    <cellStyle name="Style 1182 2" xfId="381" xr:uid="{00000000-0005-0000-0000-00002A080000}"/>
    <cellStyle name="Style 1182 2 2" xfId="854" xr:uid="{00000000-0005-0000-0000-00002B080000}"/>
    <cellStyle name="Style 1182 2 2 2" xfId="8287" xr:uid="{39295337-6B20-4406-ACCA-F3A331090EA9}"/>
    <cellStyle name="Style 1182 2 3" xfId="8286" xr:uid="{CC07383B-C409-4FBD-B273-51B4C22B2410}"/>
    <cellStyle name="Style 1182 3" xfId="615" xr:uid="{00000000-0005-0000-0000-00002C080000}"/>
    <cellStyle name="Style 1182 3 2" xfId="1088" xr:uid="{00000000-0005-0000-0000-00002D080000}"/>
    <cellStyle name="Style 1182 3 3" xfId="8288" xr:uid="{867ADFBD-B15D-428A-B5F8-0BF9B7D5CD0F}"/>
    <cellStyle name="Style 1182 4" xfId="1328" xr:uid="{00000000-0005-0000-0000-00002E080000}"/>
    <cellStyle name="Style 1182 4 2" xfId="3312" xr:uid="{00000000-0005-0000-0000-00002F080000}"/>
    <cellStyle name="Style 1182 4 3" xfId="8289" xr:uid="{5086D37C-6480-4359-BE83-9B5A3C0BD7BD}"/>
    <cellStyle name="Style 1182 5" xfId="1623" xr:uid="{00000000-0005-0000-0000-000030080000}"/>
    <cellStyle name="Style 1182 5 2" xfId="3550" xr:uid="{00000000-0005-0000-0000-000031080000}"/>
    <cellStyle name="Style 1182 6" xfId="1874" xr:uid="{00000000-0005-0000-0000-000032080000}"/>
    <cellStyle name="Style 1182 6 2" xfId="3784" xr:uid="{00000000-0005-0000-0000-000033080000}"/>
    <cellStyle name="Style 1182 7" xfId="2118" xr:uid="{00000000-0005-0000-0000-000034080000}"/>
    <cellStyle name="Style 1182 7 2" xfId="4019" xr:uid="{00000000-0005-0000-0000-000035080000}"/>
    <cellStyle name="Style 1182 8" xfId="2353" xr:uid="{00000000-0005-0000-0000-000036080000}"/>
    <cellStyle name="Style 1182 8 2" xfId="4254" xr:uid="{00000000-0005-0000-0000-000037080000}"/>
    <cellStyle name="Style 1182 9" xfId="2600" xr:uid="{00000000-0005-0000-0000-000038080000}"/>
    <cellStyle name="Style 1182 9 2" xfId="4489" xr:uid="{00000000-0005-0000-0000-000039080000}"/>
    <cellStyle name="Style 1183" xfId="148" xr:uid="{00000000-0005-0000-0000-00003A080000}"/>
    <cellStyle name="Style 1183 10" xfId="2835" xr:uid="{00000000-0005-0000-0000-00003B080000}"/>
    <cellStyle name="Style 1183 10 2" xfId="4724" xr:uid="{00000000-0005-0000-0000-00003C080000}"/>
    <cellStyle name="Style 1183 11" xfId="3072" xr:uid="{00000000-0005-0000-0000-00003D080000}"/>
    <cellStyle name="Style 1183 11 2" xfId="4958" xr:uid="{00000000-0005-0000-0000-00003E080000}"/>
    <cellStyle name="Style 1183 12" xfId="5194" xr:uid="{00000000-0005-0000-0000-00003F080000}"/>
    <cellStyle name="Style 1183 12 2" xfId="6654" xr:uid="{00000000-0005-0000-0000-00003F080000}"/>
    <cellStyle name="Style 1183 13" xfId="5456" xr:uid="{00000000-0005-0000-0000-000040080000}"/>
    <cellStyle name="Style 1183 13 2" xfId="6880" xr:uid="{00000000-0005-0000-0000-000040080000}"/>
    <cellStyle name="Style 1183 14" xfId="5777" xr:uid="{00000000-0005-0000-0000-000041080000}"/>
    <cellStyle name="Style 1183 14 2" xfId="7197" xr:uid="{00000000-0005-0000-0000-000041080000}"/>
    <cellStyle name="Style 1183 15" xfId="6268" xr:uid="{00000000-0005-0000-0000-000042080000}"/>
    <cellStyle name="Style 1183 15 2" xfId="7546" xr:uid="{00000000-0005-0000-0000-000042080000}"/>
    <cellStyle name="Style 1183 2" xfId="382" xr:uid="{00000000-0005-0000-0000-000043080000}"/>
    <cellStyle name="Style 1183 2 2" xfId="855" xr:uid="{00000000-0005-0000-0000-000044080000}"/>
    <cellStyle name="Style 1183 2 2 2" xfId="8291" xr:uid="{EEBCDF35-F956-4040-A0B9-C4F6AB702041}"/>
    <cellStyle name="Style 1183 2 3" xfId="8290" xr:uid="{B182ACE5-622C-4E66-900D-B5922A2681A0}"/>
    <cellStyle name="Style 1183 3" xfId="616" xr:uid="{00000000-0005-0000-0000-000045080000}"/>
    <cellStyle name="Style 1183 3 2" xfId="1089" xr:uid="{00000000-0005-0000-0000-000046080000}"/>
    <cellStyle name="Style 1183 3 3" xfId="8292" xr:uid="{A76A38E1-4E5F-4271-8467-EE2EF565CCF6}"/>
    <cellStyle name="Style 1183 4" xfId="1329" xr:uid="{00000000-0005-0000-0000-000047080000}"/>
    <cellStyle name="Style 1183 4 2" xfId="3313" xr:uid="{00000000-0005-0000-0000-000048080000}"/>
    <cellStyle name="Style 1183 4 3" xfId="8293" xr:uid="{EA4E0339-EE42-487B-B68E-FE6E33C3D3FF}"/>
    <cellStyle name="Style 1183 5" xfId="1624" xr:uid="{00000000-0005-0000-0000-000049080000}"/>
    <cellStyle name="Style 1183 5 2" xfId="3551" xr:uid="{00000000-0005-0000-0000-00004A080000}"/>
    <cellStyle name="Style 1183 6" xfId="1875" xr:uid="{00000000-0005-0000-0000-00004B080000}"/>
    <cellStyle name="Style 1183 6 2" xfId="3785" xr:uid="{00000000-0005-0000-0000-00004C080000}"/>
    <cellStyle name="Style 1183 7" xfId="2119" xr:uid="{00000000-0005-0000-0000-00004D080000}"/>
    <cellStyle name="Style 1183 7 2" xfId="4020" xr:uid="{00000000-0005-0000-0000-00004E080000}"/>
    <cellStyle name="Style 1183 8" xfId="2354" xr:uid="{00000000-0005-0000-0000-00004F080000}"/>
    <cellStyle name="Style 1183 8 2" xfId="4255" xr:uid="{00000000-0005-0000-0000-000050080000}"/>
    <cellStyle name="Style 1183 9" xfId="2601" xr:uid="{00000000-0005-0000-0000-000051080000}"/>
    <cellStyle name="Style 1183 9 2" xfId="4490" xr:uid="{00000000-0005-0000-0000-000052080000}"/>
    <cellStyle name="Style 1184" xfId="149" xr:uid="{00000000-0005-0000-0000-000053080000}"/>
    <cellStyle name="Style 1184 10" xfId="2836" xr:uid="{00000000-0005-0000-0000-000054080000}"/>
    <cellStyle name="Style 1184 10 2" xfId="4725" xr:uid="{00000000-0005-0000-0000-000055080000}"/>
    <cellStyle name="Style 1184 11" xfId="3073" xr:uid="{00000000-0005-0000-0000-000056080000}"/>
    <cellStyle name="Style 1184 11 2" xfId="4959" xr:uid="{00000000-0005-0000-0000-000057080000}"/>
    <cellStyle name="Style 1184 12" xfId="5195" xr:uid="{00000000-0005-0000-0000-000058080000}"/>
    <cellStyle name="Style 1184 12 2" xfId="6655" xr:uid="{00000000-0005-0000-0000-000058080000}"/>
    <cellStyle name="Style 1184 13" xfId="5457" xr:uid="{00000000-0005-0000-0000-000059080000}"/>
    <cellStyle name="Style 1184 13 2" xfId="6881" xr:uid="{00000000-0005-0000-0000-000059080000}"/>
    <cellStyle name="Style 1184 14" xfId="5778" xr:uid="{00000000-0005-0000-0000-00005A080000}"/>
    <cellStyle name="Style 1184 14 2" xfId="7198" xr:uid="{00000000-0005-0000-0000-00005A080000}"/>
    <cellStyle name="Style 1184 15" xfId="6269" xr:uid="{00000000-0005-0000-0000-00005B080000}"/>
    <cellStyle name="Style 1184 15 2" xfId="7547" xr:uid="{00000000-0005-0000-0000-00005B080000}"/>
    <cellStyle name="Style 1184 2" xfId="383" xr:uid="{00000000-0005-0000-0000-00005C080000}"/>
    <cellStyle name="Style 1184 2 2" xfId="856" xr:uid="{00000000-0005-0000-0000-00005D080000}"/>
    <cellStyle name="Style 1184 2 2 2" xfId="8295" xr:uid="{CE95626D-4AFA-4BD4-9F0E-2418AADD49BB}"/>
    <cellStyle name="Style 1184 2 3" xfId="8294" xr:uid="{71E02B86-5087-4378-8814-16B0DA2D9D0B}"/>
    <cellStyle name="Style 1184 3" xfId="617" xr:uid="{00000000-0005-0000-0000-00005E080000}"/>
    <cellStyle name="Style 1184 3 2" xfId="1090" xr:uid="{00000000-0005-0000-0000-00005F080000}"/>
    <cellStyle name="Style 1184 3 3" xfId="8296" xr:uid="{EA067FCF-BC4A-44E1-82E5-5528D789B71A}"/>
    <cellStyle name="Style 1184 4" xfId="1330" xr:uid="{00000000-0005-0000-0000-000060080000}"/>
    <cellStyle name="Style 1184 4 2" xfId="3314" xr:uid="{00000000-0005-0000-0000-000061080000}"/>
    <cellStyle name="Style 1184 4 3" xfId="8297" xr:uid="{BFCEE3EA-D190-4DB9-A166-095A3A6DCF71}"/>
    <cellStyle name="Style 1184 5" xfId="1625" xr:uid="{00000000-0005-0000-0000-000062080000}"/>
    <cellStyle name="Style 1184 5 2" xfId="3552" xr:uid="{00000000-0005-0000-0000-000063080000}"/>
    <cellStyle name="Style 1184 6" xfId="1876" xr:uid="{00000000-0005-0000-0000-000064080000}"/>
    <cellStyle name="Style 1184 6 2" xfId="3786" xr:uid="{00000000-0005-0000-0000-000065080000}"/>
    <cellStyle name="Style 1184 7" xfId="2120" xr:uid="{00000000-0005-0000-0000-000066080000}"/>
    <cellStyle name="Style 1184 7 2" xfId="4021" xr:uid="{00000000-0005-0000-0000-000067080000}"/>
    <cellStyle name="Style 1184 8" xfId="2355" xr:uid="{00000000-0005-0000-0000-000068080000}"/>
    <cellStyle name="Style 1184 8 2" xfId="4256" xr:uid="{00000000-0005-0000-0000-000069080000}"/>
    <cellStyle name="Style 1184 9" xfId="2602" xr:uid="{00000000-0005-0000-0000-00006A080000}"/>
    <cellStyle name="Style 1184 9 2" xfId="4491" xr:uid="{00000000-0005-0000-0000-00006B080000}"/>
    <cellStyle name="Style 1185" xfId="150" xr:uid="{00000000-0005-0000-0000-00006C080000}"/>
    <cellStyle name="Style 1185 10" xfId="2837" xr:uid="{00000000-0005-0000-0000-00006D080000}"/>
    <cellStyle name="Style 1185 10 2" xfId="4726" xr:uid="{00000000-0005-0000-0000-00006E080000}"/>
    <cellStyle name="Style 1185 11" xfId="3074" xr:uid="{00000000-0005-0000-0000-00006F080000}"/>
    <cellStyle name="Style 1185 11 2" xfId="4960" xr:uid="{00000000-0005-0000-0000-000070080000}"/>
    <cellStyle name="Style 1185 12" xfId="5196" xr:uid="{00000000-0005-0000-0000-000071080000}"/>
    <cellStyle name="Style 1185 12 2" xfId="6656" xr:uid="{00000000-0005-0000-0000-000071080000}"/>
    <cellStyle name="Style 1185 13" xfId="5458" xr:uid="{00000000-0005-0000-0000-000072080000}"/>
    <cellStyle name="Style 1185 13 2" xfId="6882" xr:uid="{00000000-0005-0000-0000-000072080000}"/>
    <cellStyle name="Style 1185 14" xfId="5779" xr:uid="{00000000-0005-0000-0000-000073080000}"/>
    <cellStyle name="Style 1185 14 2" xfId="7199" xr:uid="{00000000-0005-0000-0000-000073080000}"/>
    <cellStyle name="Style 1185 15" xfId="6270" xr:uid="{00000000-0005-0000-0000-000074080000}"/>
    <cellStyle name="Style 1185 15 2" xfId="7548" xr:uid="{00000000-0005-0000-0000-000074080000}"/>
    <cellStyle name="Style 1185 2" xfId="384" xr:uid="{00000000-0005-0000-0000-000075080000}"/>
    <cellStyle name="Style 1185 2 2" xfId="857" xr:uid="{00000000-0005-0000-0000-000076080000}"/>
    <cellStyle name="Style 1185 2 2 2" xfId="8299" xr:uid="{07A2B6E6-7D43-4481-BD8E-2461D76DCDA3}"/>
    <cellStyle name="Style 1185 2 3" xfId="8298" xr:uid="{5E1DA204-9644-49D7-BE9E-486494F8C0B8}"/>
    <cellStyle name="Style 1185 3" xfId="618" xr:uid="{00000000-0005-0000-0000-000077080000}"/>
    <cellStyle name="Style 1185 3 2" xfId="1091" xr:uid="{00000000-0005-0000-0000-000078080000}"/>
    <cellStyle name="Style 1185 3 3" xfId="8300" xr:uid="{83379A07-A3E0-471A-AE9B-36056A9B5A3F}"/>
    <cellStyle name="Style 1185 4" xfId="1331" xr:uid="{00000000-0005-0000-0000-000079080000}"/>
    <cellStyle name="Style 1185 4 2" xfId="3315" xr:uid="{00000000-0005-0000-0000-00007A080000}"/>
    <cellStyle name="Style 1185 4 3" xfId="8301" xr:uid="{C353450D-C0D2-4D62-B275-9CE4FE45D223}"/>
    <cellStyle name="Style 1185 5" xfId="1626" xr:uid="{00000000-0005-0000-0000-00007B080000}"/>
    <cellStyle name="Style 1185 5 2" xfId="3553" xr:uid="{00000000-0005-0000-0000-00007C080000}"/>
    <cellStyle name="Style 1185 6" xfId="1877" xr:uid="{00000000-0005-0000-0000-00007D080000}"/>
    <cellStyle name="Style 1185 6 2" xfId="3787" xr:uid="{00000000-0005-0000-0000-00007E080000}"/>
    <cellStyle name="Style 1185 7" xfId="2121" xr:uid="{00000000-0005-0000-0000-00007F080000}"/>
    <cellStyle name="Style 1185 7 2" xfId="4022" xr:uid="{00000000-0005-0000-0000-000080080000}"/>
    <cellStyle name="Style 1185 8" xfId="2356" xr:uid="{00000000-0005-0000-0000-000081080000}"/>
    <cellStyle name="Style 1185 8 2" xfId="4257" xr:uid="{00000000-0005-0000-0000-000082080000}"/>
    <cellStyle name="Style 1185 9" xfId="2603" xr:uid="{00000000-0005-0000-0000-000083080000}"/>
    <cellStyle name="Style 1185 9 2" xfId="4492" xr:uid="{00000000-0005-0000-0000-000084080000}"/>
    <cellStyle name="Style 1209" xfId="151" xr:uid="{00000000-0005-0000-0000-000085080000}"/>
    <cellStyle name="Style 1209 10" xfId="2838" xr:uid="{00000000-0005-0000-0000-000086080000}"/>
    <cellStyle name="Style 1209 10 2" xfId="4727" xr:uid="{00000000-0005-0000-0000-000087080000}"/>
    <cellStyle name="Style 1209 11" xfId="3075" xr:uid="{00000000-0005-0000-0000-000088080000}"/>
    <cellStyle name="Style 1209 11 2" xfId="4961" xr:uid="{00000000-0005-0000-0000-000089080000}"/>
    <cellStyle name="Style 1209 12" xfId="5197" xr:uid="{00000000-0005-0000-0000-00008A080000}"/>
    <cellStyle name="Style 1209 12 2" xfId="6657" xr:uid="{00000000-0005-0000-0000-00008A080000}"/>
    <cellStyle name="Style 1209 13" xfId="5648" xr:uid="{00000000-0005-0000-0000-00008B080000}"/>
    <cellStyle name="Style 1209 13 2" xfId="7068" xr:uid="{00000000-0005-0000-0000-00008B080000}"/>
    <cellStyle name="Style 1209 14" xfId="5780" xr:uid="{00000000-0005-0000-0000-00008C080000}"/>
    <cellStyle name="Style 1209 14 2" xfId="7200" xr:uid="{00000000-0005-0000-0000-00008C080000}"/>
    <cellStyle name="Style 1209 15" xfId="6271" xr:uid="{00000000-0005-0000-0000-00008D080000}"/>
    <cellStyle name="Style 1209 15 2" xfId="7549" xr:uid="{00000000-0005-0000-0000-00008D080000}"/>
    <cellStyle name="Style 1209 2" xfId="385" xr:uid="{00000000-0005-0000-0000-00008E080000}"/>
    <cellStyle name="Style 1209 2 2" xfId="858" xr:uid="{00000000-0005-0000-0000-00008F080000}"/>
    <cellStyle name="Style 1209 2 3" xfId="8302" xr:uid="{0442A171-829F-4195-B239-A85617CCE4C9}"/>
    <cellStyle name="Style 1209 3" xfId="619" xr:uid="{00000000-0005-0000-0000-000090080000}"/>
    <cellStyle name="Style 1209 3 2" xfId="1092" xr:uid="{00000000-0005-0000-0000-000091080000}"/>
    <cellStyle name="Style 1209 3 3" xfId="8303" xr:uid="{8524CCF0-B4CD-40AF-BCAE-3A4718BB6988}"/>
    <cellStyle name="Style 1209 4" xfId="1332" xr:uid="{00000000-0005-0000-0000-000092080000}"/>
    <cellStyle name="Style 1209 4 2" xfId="3316" xr:uid="{00000000-0005-0000-0000-000093080000}"/>
    <cellStyle name="Style 1209 5" xfId="1627" xr:uid="{00000000-0005-0000-0000-000094080000}"/>
    <cellStyle name="Style 1209 5 2" xfId="3554" xr:uid="{00000000-0005-0000-0000-000095080000}"/>
    <cellStyle name="Style 1209 6" xfId="1878" xr:uid="{00000000-0005-0000-0000-000096080000}"/>
    <cellStyle name="Style 1209 6 2" xfId="3788" xr:uid="{00000000-0005-0000-0000-000097080000}"/>
    <cellStyle name="Style 1209 7" xfId="2122" xr:uid="{00000000-0005-0000-0000-000098080000}"/>
    <cellStyle name="Style 1209 7 2" xfId="4023" xr:uid="{00000000-0005-0000-0000-000099080000}"/>
    <cellStyle name="Style 1209 8" xfId="2357" xr:uid="{00000000-0005-0000-0000-00009A080000}"/>
    <cellStyle name="Style 1209 8 2" xfId="4258" xr:uid="{00000000-0005-0000-0000-00009B080000}"/>
    <cellStyle name="Style 1209 9" xfId="2604" xr:uid="{00000000-0005-0000-0000-00009C080000}"/>
    <cellStyle name="Style 1209 9 2" xfId="4493" xr:uid="{00000000-0005-0000-0000-00009D080000}"/>
    <cellStyle name="Style 1211" xfId="152" xr:uid="{00000000-0005-0000-0000-00009E080000}"/>
    <cellStyle name="Style 1211 10" xfId="2839" xr:uid="{00000000-0005-0000-0000-00009F080000}"/>
    <cellStyle name="Style 1211 10 2" xfId="4728" xr:uid="{00000000-0005-0000-0000-0000A0080000}"/>
    <cellStyle name="Style 1211 11" xfId="3076" xr:uid="{00000000-0005-0000-0000-0000A1080000}"/>
    <cellStyle name="Style 1211 11 2" xfId="4962" xr:uid="{00000000-0005-0000-0000-0000A2080000}"/>
    <cellStyle name="Style 1211 12" xfId="5198" xr:uid="{00000000-0005-0000-0000-0000A3080000}"/>
    <cellStyle name="Style 1211 12 2" xfId="6658" xr:uid="{00000000-0005-0000-0000-0000A3080000}"/>
    <cellStyle name="Style 1211 13" xfId="5649" xr:uid="{00000000-0005-0000-0000-0000A4080000}"/>
    <cellStyle name="Style 1211 13 2" xfId="7069" xr:uid="{00000000-0005-0000-0000-0000A4080000}"/>
    <cellStyle name="Style 1211 14" xfId="5781" xr:uid="{00000000-0005-0000-0000-0000A5080000}"/>
    <cellStyle name="Style 1211 14 2" xfId="7201" xr:uid="{00000000-0005-0000-0000-0000A5080000}"/>
    <cellStyle name="Style 1211 15" xfId="6272" xr:uid="{00000000-0005-0000-0000-0000A6080000}"/>
    <cellStyle name="Style 1211 15 2" xfId="7550" xr:uid="{00000000-0005-0000-0000-0000A6080000}"/>
    <cellStyle name="Style 1211 2" xfId="386" xr:uid="{00000000-0005-0000-0000-0000A7080000}"/>
    <cellStyle name="Style 1211 2 2" xfId="859" xr:uid="{00000000-0005-0000-0000-0000A8080000}"/>
    <cellStyle name="Style 1211 2 3" xfId="8304" xr:uid="{4A914842-36EF-4050-BADB-6E58DAA8FC0A}"/>
    <cellStyle name="Style 1211 3" xfId="620" xr:uid="{00000000-0005-0000-0000-0000A9080000}"/>
    <cellStyle name="Style 1211 3 2" xfId="1093" xr:uid="{00000000-0005-0000-0000-0000AA080000}"/>
    <cellStyle name="Style 1211 3 3" xfId="8305" xr:uid="{6AE7C714-023F-4BAE-9B60-1D9B532AFB55}"/>
    <cellStyle name="Style 1211 4" xfId="1333" xr:uid="{00000000-0005-0000-0000-0000AB080000}"/>
    <cellStyle name="Style 1211 4 2" xfId="3317" xr:uid="{00000000-0005-0000-0000-0000AC080000}"/>
    <cellStyle name="Style 1211 5" xfId="1628" xr:uid="{00000000-0005-0000-0000-0000AD080000}"/>
    <cellStyle name="Style 1211 5 2" xfId="3555" xr:uid="{00000000-0005-0000-0000-0000AE080000}"/>
    <cellStyle name="Style 1211 6" xfId="1879" xr:uid="{00000000-0005-0000-0000-0000AF080000}"/>
    <cellStyle name="Style 1211 6 2" xfId="3789" xr:uid="{00000000-0005-0000-0000-0000B0080000}"/>
    <cellStyle name="Style 1211 7" xfId="2123" xr:uid="{00000000-0005-0000-0000-0000B1080000}"/>
    <cellStyle name="Style 1211 7 2" xfId="4024" xr:uid="{00000000-0005-0000-0000-0000B2080000}"/>
    <cellStyle name="Style 1211 8" xfId="2358" xr:uid="{00000000-0005-0000-0000-0000B3080000}"/>
    <cellStyle name="Style 1211 8 2" xfId="4259" xr:uid="{00000000-0005-0000-0000-0000B4080000}"/>
    <cellStyle name="Style 1211 9" xfId="2605" xr:uid="{00000000-0005-0000-0000-0000B5080000}"/>
    <cellStyle name="Style 1211 9 2" xfId="4494" xr:uid="{00000000-0005-0000-0000-0000B6080000}"/>
    <cellStyle name="Style 1213" xfId="153" xr:uid="{00000000-0005-0000-0000-0000B7080000}"/>
    <cellStyle name="Style 1213 10" xfId="2606" xr:uid="{00000000-0005-0000-0000-0000B8080000}"/>
    <cellStyle name="Style 1213 10 2" xfId="4495" xr:uid="{00000000-0005-0000-0000-0000B9080000}"/>
    <cellStyle name="Style 1213 11" xfId="2840" xr:uid="{00000000-0005-0000-0000-0000BA080000}"/>
    <cellStyle name="Style 1213 11 2" xfId="4729" xr:uid="{00000000-0005-0000-0000-0000BB080000}"/>
    <cellStyle name="Style 1213 12" xfId="3077" xr:uid="{00000000-0005-0000-0000-0000BC080000}"/>
    <cellStyle name="Style 1213 12 2" xfId="4963" xr:uid="{00000000-0005-0000-0000-0000BD080000}"/>
    <cellStyle name="Style 1213 13" xfId="5199" xr:uid="{00000000-0005-0000-0000-0000BE080000}"/>
    <cellStyle name="Style 1213 13 2" xfId="6659" xr:uid="{00000000-0005-0000-0000-0000BE080000}"/>
    <cellStyle name="Style 1213 14" xfId="5650" xr:uid="{00000000-0005-0000-0000-0000BF080000}"/>
    <cellStyle name="Style 1213 14 2" xfId="7070" xr:uid="{00000000-0005-0000-0000-0000BF080000}"/>
    <cellStyle name="Style 1213 15" xfId="5782" xr:uid="{00000000-0005-0000-0000-0000C0080000}"/>
    <cellStyle name="Style 1213 15 2" xfId="7202" xr:uid="{00000000-0005-0000-0000-0000C0080000}"/>
    <cellStyle name="Style 1213 16" xfId="6273" xr:uid="{00000000-0005-0000-0000-0000C1080000}"/>
    <cellStyle name="Style 1213 16 2" xfId="7551" xr:uid="{00000000-0005-0000-0000-0000C1080000}"/>
    <cellStyle name="Style 1213 17" xfId="8306" xr:uid="{7F43CFC6-9486-42C9-80BA-FBD27146281D}"/>
    <cellStyle name="Style 1213 2" xfId="154" xr:uid="{00000000-0005-0000-0000-0000C2080000}"/>
    <cellStyle name="Style 1213 2 10" xfId="2841" xr:uid="{00000000-0005-0000-0000-0000C3080000}"/>
    <cellStyle name="Style 1213 2 10 2" xfId="4730" xr:uid="{00000000-0005-0000-0000-0000C4080000}"/>
    <cellStyle name="Style 1213 2 11" xfId="3078" xr:uid="{00000000-0005-0000-0000-0000C5080000}"/>
    <cellStyle name="Style 1213 2 11 2" xfId="4964" xr:uid="{00000000-0005-0000-0000-0000C6080000}"/>
    <cellStyle name="Style 1213 2 12" xfId="5200" xr:uid="{00000000-0005-0000-0000-0000C7080000}"/>
    <cellStyle name="Style 1213 2 12 2" xfId="6660" xr:uid="{00000000-0005-0000-0000-0000C7080000}"/>
    <cellStyle name="Style 1213 2 13" xfId="5651" xr:uid="{00000000-0005-0000-0000-0000C8080000}"/>
    <cellStyle name="Style 1213 2 13 2" xfId="7071" xr:uid="{00000000-0005-0000-0000-0000C8080000}"/>
    <cellStyle name="Style 1213 2 14" xfId="5783" xr:uid="{00000000-0005-0000-0000-0000C9080000}"/>
    <cellStyle name="Style 1213 2 14 2" xfId="7203" xr:uid="{00000000-0005-0000-0000-0000C9080000}"/>
    <cellStyle name="Style 1213 2 15" xfId="6274" xr:uid="{00000000-0005-0000-0000-0000CA080000}"/>
    <cellStyle name="Style 1213 2 15 2" xfId="7552" xr:uid="{00000000-0005-0000-0000-0000CA080000}"/>
    <cellStyle name="Style 1213 2 2" xfId="388" xr:uid="{00000000-0005-0000-0000-0000CB080000}"/>
    <cellStyle name="Style 1213 2 2 2" xfId="861" xr:uid="{00000000-0005-0000-0000-0000CC080000}"/>
    <cellStyle name="Style 1213 2 2 3" xfId="8307" xr:uid="{DB8E87D5-EB4F-4190-8075-980BA4B6C70E}"/>
    <cellStyle name="Style 1213 2 3" xfId="622" xr:uid="{00000000-0005-0000-0000-0000CD080000}"/>
    <cellStyle name="Style 1213 2 3 2" xfId="1095" xr:uid="{00000000-0005-0000-0000-0000CE080000}"/>
    <cellStyle name="Style 1213 2 3 3" xfId="8308" xr:uid="{DDF1DC76-6C8D-4DAF-B915-586AB807E2B0}"/>
    <cellStyle name="Style 1213 2 4" xfId="1335" xr:uid="{00000000-0005-0000-0000-0000CF080000}"/>
    <cellStyle name="Style 1213 2 4 2" xfId="3319" xr:uid="{00000000-0005-0000-0000-0000D0080000}"/>
    <cellStyle name="Style 1213 2 4 3" xfId="8309" xr:uid="{FF4B6329-8F7A-4778-8D05-F0B77243C56B}"/>
    <cellStyle name="Style 1213 2 5" xfId="1630" xr:uid="{00000000-0005-0000-0000-0000D1080000}"/>
    <cellStyle name="Style 1213 2 5 2" xfId="3557" xr:uid="{00000000-0005-0000-0000-0000D2080000}"/>
    <cellStyle name="Style 1213 2 6" xfId="1881" xr:uid="{00000000-0005-0000-0000-0000D3080000}"/>
    <cellStyle name="Style 1213 2 6 2" xfId="3791" xr:uid="{00000000-0005-0000-0000-0000D4080000}"/>
    <cellStyle name="Style 1213 2 7" xfId="2125" xr:uid="{00000000-0005-0000-0000-0000D5080000}"/>
    <cellStyle name="Style 1213 2 7 2" xfId="4026" xr:uid="{00000000-0005-0000-0000-0000D6080000}"/>
    <cellStyle name="Style 1213 2 8" xfId="2360" xr:uid="{00000000-0005-0000-0000-0000D7080000}"/>
    <cellStyle name="Style 1213 2 8 2" xfId="4261" xr:uid="{00000000-0005-0000-0000-0000D8080000}"/>
    <cellStyle name="Style 1213 2 9" xfId="2607" xr:uid="{00000000-0005-0000-0000-0000D9080000}"/>
    <cellStyle name="Style 1213 2 9 2" xfId="4496" xr:uid="{00000000-0005-0000-0000-0000DA080000}"/>
    <cellStyle name="Style 1213 3" xfId="387" xr:uid="{00000000-0005-0000-0000-0000DB080000}"/>
    <cellStyle name="Style 1213 3 2" xfId="860" xr:uid="{00000000-0005-0000-0000-0000DC080000}"/>
    <cellStyle name="Style 1213 3 2 2" xfId="8311" xr:uid="{61D94183-E06F-4E96-8A9C-DE02993B768F}"/>
    <cellStyle name="Style 1213 3 3" xfId="8310" xr:uid="{47BA7B76-B876-42EC-A4ED-33FFB5933642}"/>
    <cellStyle name="Style 1213 4" xfId="621" xr:uid="{00000000-0005-0000-0000-0000DD080000}"/>
    <cellStyle name="Style 1213 4 2" xfId="1094" xr:uid="{00000000-0005-0000-0000-0000DE080000}"/>
    <cellStyle name="Style 1213 4 3" xfId="8312" xr:uid="{EB14CC0A-21B4-47E8-929C-B5784765F591}"/>
    <cellStyle name="Style 1213 5" xfId="1334" xr:uid="{00000000-0005-0000-0000-0000DF080000}"/>
    <cellStyle name="Style 1213 5 2" xfId="3318" xr:uid="{00000000-0005-0000-0000-0000E0080000}"/>
    <cellStyle name="Style 1213 6" xfId="1629" xr:uid="{00000000-0005-0000-0000-0000E1080000}"/>
    <cellStyle name="Style 1213 6 2" xfId="3556" xr:uid="{00000000-0005-0000-0000-0000E2080000}"/>
    <cellStyle name="Style 1213 7" xfId="1880" xr:uid="{00000000-0005-0000-0000-0000E3080000}"/>
    <cellStyle name="Style 1213 7 2" xfId="3790" xr:uid="{00000000-0005-0000-0000-0000E4080000}"/>
    <cellStyle name="Style 1213 8" xfId="2124" xr:uid="{00000000-0005-0000-0000-0000E5080000}"/>
    <cellStyle name="Style 1213 8 2" xfId="4025" xr:uid="{00000000-0005-0000-0000-0000E6080000}"/>
    <cellStyle name="Style 1213 9" xfId="2359" xr:uid="{00000000-0005-0000-0000-0000E7080000}"/>
    <cellStyle name="Style 1213 9 2" xfId="4260" xr:uid="{00000000-0005-0000-0000-0000E8080000}"/>
    <cellStyle name="Style 1214" xfId="155" xr:uid="{00000000-0005-0000-0000-0000E9080000}"/>
    <cellStyle name="Style 1214 10" xfId="2608" xr:uid="{00000000-0005-0000-0000-0000EA080000}"/>
    <cellStyle name="Style 1214 10 2" xfId="4497" xr:uid="{00000000-0005-0000-0000-0000EB080000}"/>
    <cellStyle name="Style 1214 11" xfId="2842" xr:uid="{00000000-0005-0000-0000-0000EC080000}"/>
    <cellStyle name="Style 1214 11 2" xfId="4731" xr:uid="{00000000-0005-0000-0000-0000ED080000}"/>
    <cellStyle name="Style 1214 12" xfId="3079" xr:uid="{00000000-0005-0000-0000-0000EE080000}"/>
    <cellStyle name="Style 1214 12 2" xfId="4965" xr:uid="{00000000-0005-0000-0000-0000EF080000}"/>
    <cellStyle name="Style 1214 13" xfId="5201" xr:uid="{00000000-0005-0000-0000-0000F0080000}"/>
    <cellStyle name="Style 1214 13 2" xfId="6661" xr:uid="{00000000-0005-0000-0000-0000F0080000}"/>
    <cellStyle name="Style 1214 14" xfId="5652" xr:uid="{00000000-0005-0000-0000-0000F1080000}"/>
    <cellStyle name="Style 1214 14 2" xfId="7072" xr:uid="{00000000-0005-0000-0000-0000F1080000}"/>
    <cellStyle name="Style 1214 15" xfId="5784" xr:uid="{00000000-0005-0000-0000-0000F2080000}"/>
    <cellStyle name="Style 1214 15 2" xfId="7204" xr:uid="{00000000-0005-0000-0000-0000F2080000}"/>
    <cellStyle name="Style 1214 16" xfId="6275" xr:uid="{00000000-0005-0000-0000-0000F3080000}"/>
    <cellStyle name="Style 1214 16 2" xfId="7553" xr:uid="{00000000-0005-0000-0000-0000F3080000}"/>
    <cellStyle name="Style 1214 17" xfId="8313" xr:uid="{F60D10C7-B7D1-46BC-8E20-A541C72CE67C}"/>
    <cellStyle name="Style 1214 2" xfId="156" xr:uid="{00000000-0005-0000-0000-0000F4080000}"/>
    <cellStyle name="Style 1214 2 10" xfId="2843" xr:uid="{00000000-0005-0000-0000-0000F5080000}"/>
    <cellStyle name="Style 1214 2 10 2" xfId="4732" xr:uid="{00000000-0005-0000-0000-0000F6080000}"/>
    <cellStyle name="Style 1214 2 11" xfId="3080" xr:uid="{00000000-0005-0000-0000-0000F7080000}"/>
    <cellStyle name="Style 1214 2 11 2" xfId="4966" xr:uid="{00000000-0005-0000-0000-0000F8080000}"/>
    <cellStyle name="Style 1214 2 12" xfId="5202" xr:uid="{00000000-0005-0000-0000-0000F9080000}"/>
    <cellStyle name="Style 1214 2 12 2" xfId="6662" xr:uid="{00000000-0005-0000-0000-0000F9080000}"/>
    <cellStyle name="Style 1214 2 13" xfId="5653" xr:uid="{00000000-0005-0000-0000-0000FA080000}"/>
    <cellStyle name="Style 1214 2 13 2" xfId="7073" xr:uid="{00000000-0005-0000-0000-0000FA080000}"/>
    <cellStyle name="Style 1214 2 14" xfId="5785" xr:uid="{00000000-0005-0000-0000-0000FB080000}"/>
    <cellStyle name="Style 1214 2 14 2" xfId="7205" xr:uid="{00000000-0005-0000-0000-0000FB080000}"/>
    <cellStyle name="Style 1214 2 15" xfId="6276" xr:uid="{00000000-0005-0000-0000-0000FC080000}"/>
    <cellStyle name="Style 1214 2 15 2" xfId="7554" xr:uid="{00000000-0005-0000-0000-0000FC080000}"/>
    <cellStyle name="Style 1214 2 2" xfId="390" xr:uid="{00000000-0005-0000-0000-0000FD080000}"/>
    <cellStyle name="Style 1214 2 2 2" xfId="863" xr:uid="{00000000-0005-0000-0000-0000FE080000}"/>
    <cellStyle name="Style 1214 2 2 3" xfId="8314" xr:uid="{1F3852CE-EE37-4731-BC2F-57AD556AF0CF}"/>
    <cellStyle name="Style 1214 2 3" xfId="624" xr:uid="{00000000-0005-0000-0000-0000FF080000}"/>
    <cellStyle name="Style 1214 2 3 2" xfId="1097" xr:uid="{00000000-0005-0000-0000-000000090000}"/>
    <cellStyle name="Style 1214 2 3 3" xfId="8315" xr:uid="{CC6306D9-0667-4776-B16E-E6779E2C6CD6}"/>
    <cellStyle name="Style 1214 2 4" xfId="1337" xr:uid="{00000000-0005-0000-0000-000001090000}"/>
    <cellStyle name="Style 1214 2 4 2" xfId="3321" xr:uid="{00000000-0005-0000-0000-000002090000}"/>
    <cellStyle name="Style 1214 2 4 3" xfId="8316" xr:uid="{7203C8C1-022F-438C-8820-097F35BC231D}"/>
    <cellStyle name="Style 1214 2 5" xfId="1632" xr:uid="{00000000-0005-0000-0000-000003090000}"/>
    <cellStyle name="Style 1214 2 5 2" xfId="3559" xr:uid="{00000000-0005-0000-0000-000004090000}"/>
    <cellStyle name="Style 1214 2 6" xfId="1883" xr:uid="{00000000-0005-0000-0000-000005090000}"/>
    <cellStyle name="Style 1214 2 6 2" xfId="3793" xr:uid="{00000000-0005-0000-0000-000006090000}"/>
    <cellStyle name="Style 1214 2 7" xfId="2127" xr:uid="{00000000-0005-0000-0000-000007090000}"/>
    <cellStyle name="Style 1214 2 7 2" xfId="4028" xr:uid="{00000000-0005-0000-0000-000008090000}"/>
    <cellStyle name="Style 1214 2 8" xfId="2362" xr:uid="{00000000-0005-0000-0000-000009090000}"/>
    <cellStyle name="Style 1214 2 8 2" xfId="4263" xr:uid="{00000000-0005-0000-0000-00000A090000}"/>
    <cellStyle name="Style 1214 2 9" xfId="2609" xr:uid="{00000000-0005-0000-0000-00000B090000}"/>
    <cellStyle name="Style 1214 2 9 2" xfId="4498" xr:uid="{00000000-0005-0000-0000-00000C090000}"/>
    <cellStyle name="Style 1214 3" xfId="389" xr:uid="{00000000-0005-0000-0000-00000D090000}"/>
    <cellStyle name="Style 1214 3 2" xfId="862" xr:uid="{00000000-0005-0000-0000-00000E090000}"/>
    <cellStyle name="Style 1214 3 2 2" xfId="8318" xr:uid="{9B0E5F87-599C-4BCC-AB07-3E8428E4E320}"/>
    <cellStyle name="Style 1214 3 3" xfId="8317" xr:uid="{9243230C-95DA-464F-AF47-F01192D59D70}"/>
    <cellStyle name="Style 1214 4" xfId="623" xr:uid="{00000000-0005-0000-0000-00000F090000}"/>
    <cellStyle name="Style 1214 4 2" xfId="1096" xr:uid="{00000000-0005-0000-0000-000010090000}"/>
    <cellStyle name="Style 1214 4 3" xfId="8319" xr:uid="{3561DD4E-8B30-4032-8EEF-425836BA3A59}"/>
    <cellStyle name="Style 1214 5" xfId="1336" xr:uid="{00000000-0005-0000-0000-000011090000}"/>
    <cellStyle name="Style 1214 5 2" xfId="3320" xr:uid="{00000000-0005-0000-0000-000012090000}"/>
    <cellStyle name="Style 1214 6" xfId="1631" xr:uid="{00000000-0005-0000-0000-000013090000}"/>
    <cellStyle name="Style 1214 6 2" xfId="3558" xr:uid="{00000000-0005-0000-0000-000014090000}"/>
    <cellStyle name="Style 1214 7" xfId="1882" xr:uid="{00000000-0005-0000-0000-000015090000}"/>
    <cellStyle name="Style 1214 7 2" xfId="3792" xr:uid="{00000000-0005-0000-0000-000016090000}"/>
    <cellStyle name="Style 1214 8" xfId="2126" xr:uid="{00000000-0005-0000-0000-000017090000}"/>
    <cellStyle name="Style 1214 8 2" xfId="4027" xr:uid="{00000000-0005-0000-0000-000018090000}"/>
    <cellStyle name="Style 1214 9" xfId="2361" xr:uid="{00000000-0005-0000-0000-000019090000}"/>
    <cellStyle name="Style 1214 9 2" xfId="4262" xr:uid="{00000000-0005-0000-0000-00001A090000}"/>
    <cellStyle name="Style 1215" xfId="157" xr:uid="{00000000-0005-0000-0000-00001B090000}"/>
    <cellStyle name="Style 1215 10" xfId="2610" xr:uid="{00000000-0005-0000-0000-00001C090000}"/>
    <cellStyle name="Style 1215 10 2" xfId="4499" xr:uid="{00000000-0005-0000-0000-00001D090000}"/>
    <cellStyle name="Style 1215 11" xfId="2844" xr:uid="{00000000-0005-0000-0000-00001E090000}"/>
    <cellStyle name="Style 1215 11 2" xfId="4733" xr:uid="{00000000-0005-0000-0000-00001F090000}"/>
    <cellStyle name="Style 1215 12" xfId="3081" xr:uid="{00000000-0005-0000-0000-000020090000}"/>
    <cellStyle name="Style 1215 12 2" xfId="4967" xr:uid="{00000000-0005-0000-0000-000021090000}"/>
    <cellStyle name="Style 1215 13" xfId="5203" xr:uid="{00000000-0005-0000-0000-000022090000}"/>
    <cellStyle name="Style 1215 13 2" xfId="6663" xr:uid="{00000000-0005-0000-0000-000022090000}"/>
    <cellStyle name="Style 1215 14" xfId="5654" xr:uid="{00000000-0005-0000-0000-000023090000}"/>
    <cellStyle name="Style 1215 14 2" xfId="7074" xr:uid="{00000000-0005-0000-0000-000023090000}"/>
    <cellStyle name="Style 1215 15" xfId="5786" xr:uid="{00000000-0005-0000-0000-000024090000}"/>
    <cellStyle name="Style 1215 15 2" xfId="7206" xr:uid="{00000000-0005-0000-0000-000024090000}"/>
    <cellStyle name="Style 1215 16" xfId="6277" xr:uid="{00000000-0005-0000-0000-000025090000}"/>
    <cellStyle name="Style 1215 16 2" xfId="7555" xr:uid="{00000000-0005-0000-0000-000025090000}"/>
    <cellStyle name="Style 1215 17" xfId="8320" xr:uid="{00D23E2F-591C-444B-871F-61B0841462ED}"/>
    <cellStyle name="Style 1215 2" xfId="158" xr:uid="{00000000-0005-0000-0000-000026090000}"/>
    <cellStyle name="Style 1215 2 10" xfId="2845" xr:uid="{00000000-0005-0000-0000-000027090000}"/>
    <cellStyle name="Style 1215 2 10 2" xfId="4734" xr:uid="{00000000-0005-0000-0000-000028090000}"/>
    <cellStyle name="Style 1215 2 11" xfId="3082" xr:uid="{00000000-0005-0000-0000-000029090000}"/>
    <cellStyle name="Style 1215 2 11 2" xfId="4968" xr:uid="{00000000-0005-0000-0000-00002A090000}"/>
    <cellStyle name="Style 1215 2 12" xfId="5204" xr:uid="{00000000-0005-0000-0000-00002B090000}"/>
    <cellStyle name="Style 1215 2 12 2" xfId="6664" xr:uid="{00000000-0005-0000-0000-00002B090000}"/>
    <cellStyle name="Style 1215 2 13" xfId="5655" xr:uid="{00000000-0005-0000-0000-00002C090000}"/>
    <cellStyle name="Style 1215 2 13 2" xfId="7075" xr:uid="{00000000-0005-0000-0000-00002C090000}"/>
    <cellStyle name="Style 1215 2 14" xfId="5787" xr:uid="{00000000-0005-0000-0000-00002D090000}"/>
    <cellStyle name="Style 1215 2 14 2" xfId="7207" xr:uid="{00000000-0005-0000-0000-00002D090000}"/>
    <cellStyle name="Style 1215 2 15" xfId="6278" xr:uid="{00000000-0005-0000-0000-00002E090000}"/>
    <cellStyle name="Style 1215 2 15 2" xfId="7556" xr:uid="{00000000-0005-0000-0000-00002E090000}"/>
    <cellStyle name="Style 1215 2 2" xfId="392" xr:uid="{00000000-0005-0000-0000-00002F090000}"/>
    <cellStyle name="Style 1215 2 2 2" xfId="865" xr:uid="{00000000-0005-0000-0000-000030090000}"/>
    <cellStyle name="Style 1215 2 2 3" xfId="8321" xr:uid="{C9D7DDD2-127A-4DD6-9D5A-C387C03D0228}"/>
    <cellStyle name="Style 1215 2 3" xfId="626" xr:uid="{00000000-0005-0000-0000-000031090000}"/>
    <cellStyle name="Style 1215 2 3 2" xfId="1099" xr:uid="{00000000-0005-0000-0000-000032090000}"/>
    <cellStyle name="Style 1215 2 3 3" xfId="8322" xr:uid="{097FE69B-F852-440E-80F1-ECE72C910D49}"/>
    <cellStyle name="Style 1215 2 4" xfId="1339" xr:uid="{00000000-0005-0000-0000-000033090000}"/>
    <cellStyle name="Style 1215 2 4 2" xfId="3323" xr:uid="{00000000-0005-0000-0000-000034090000}"/>
    <cellStyle name="Style 1215 2 4 3" xfId="8323" xr:uid="{824570F4-5FEF-49B6-8AE3-3FDDF33F5C77}"/>
    <cellStyle name="Style 1215 2 5" xfId="1634" xr:uid="{00000000-0005-0000-0000-000035090000}"/>
    <cellStyle name="Style 1215 2 5 2" xfId="3561" xr:uid="{00000000-0005-0000-0000-000036090000}"/>
    <cellStyle name="Style 1215 2 6" xfId="1885" xr:uid="{00000000-0005-0000-0000-000037090000}"/>
    <cellStyle name="Style 1215 2 6 2" xfId="3795" xr:uid="{00000000-0005-0000-0000-000038090000}"/>
    <cellStyle name="Style 1215 2 7" xfId="2129" xr:uid="{00000000-0005-0000-0000-000039090000}"/>
    <cellStyle name="Style 1215 2 7 2" xfId="4030" xr:uid="{00000000-0005-0000-0000-00003A090000}"/>
    <cellStyle name="Style 1215 2 8" xfId="2364" xr:uid="{00000000-0005-0000-0000-00003B090000}"/>
    <cellStyle name="Style 1215 2 8 2" xfId="4265" xr:uid="{00000000-0005-0000-0000-00003C090000}"/>
    <cellStyle name="Style 1215 2 9" xfId="2611" xr:uid="{00000000-0005-0000-0000-00003D090000}"/>
    <cellStyle name="Style 1215 2 9 2" xfId="4500" xr:uid="{00000000-0005-0000-0000-00003E090000}"/>
    <cellStyle name="Style 1215 3" xfId="391" xr:uid="{00000000-0005-0000-0000-00003F090000}"/>
    <cellStyle name="Style 1215 3 2" xfId="864" xr:uid="{00000000-0005-0000-0000-000040090000}"/>
    <cellStyle name="Style 1215 3 2 2" xfId="8325" xr:uid="{683F46D1-E3CC-490D-8861-96307A4A405D}"/>
    <cellStyle name="Style 1215 3 3" xfId="8324" xr:uid="{56FB5E9F-F241-4182-AF1B-E39E6267DEF2}"/>
    <cellStyle name="Style 1215 4" xfId="625" xr:uid="{00000000-0005-0000-0000-000041090000}"/>
    <cellStyle name="Style 1215 4 2" xfId="1098" xr:uid="{00000000-0005-0000-0000-000042090000}"/>
    <cellStyle name="Style 1215 4 3" xfId="8326" xr:uid="{8CD26E48-B65E-45B3-B00C-A328E85597EE}"/>
    <cellStyle name="Style 1215 5" xfId="1338" xr:uid="{00000000-0005-0000-0000-000043090000}"/>
    <cellStyle name="Style 1215 5 2" xfId="3322" xr:uid="{00000000-0005-0000-0000-000044090000}"/>
    <cellStyle name="Style 1215 6" xfId="1633" xr:uid="{00000000-0005-0000-0000-000045090000}"/>
    <cellStyle name="Style 1215 6 2" xfId="3560" xr:uid="{00000000-0005-0000-0000-000046090000}"/>
    <cellStyle name="Style 1215 7" xfId="1884" xr:uid="{00000000-0005-0000-0000-000047090000}"/>
    <cellStyle name="Style 1215 7 2" xfId="3794" xr:uid="{00000000-0005-0000-0000-000048090000}"/>
    <cellStyle name="Style 1215 8" xfId="2128" xr:uid="{00000000-0005-0000-0000-000049090000}"/>
    <cellStyle name="Style 1215 8 2" xfId="4029" xr:uid="{00000000-0005-0000-0000-00004A090000}"/>
    <cellStyle name="Style 1215 9" xfId="2363" xr:uid="{00000000-0005-0000-0000-00004B090000}"/>
    <cellStyle name="Style 1215 9 2" xfId="4264" xr:uid="{00000000-0005-0000-0000-00004C090000}"/>
    <cellStyle name="Style 1215_bearbeiteter CAP SHG111" xfId="8327" xr:uid="{AD8E928B-FAD8-4423-909A-4BF31DE69673}"/>
    <cellStyle name="Style 1216" xfId="159" xr:uid="{00000000-0005-0000-0000-00004D090000}"/>
    <cellStyle name="Style 1216 10" xfId="2612" xr:uid="{00000000-0005-0000-0000-00004E090000}"/>
    <cellStyle name="Style 1216 10 2" xfId="4501" xr:uid="{00000000-0005-0000-0000-00004F090000}"/>
    <cellStyle name="Style 1216 11" xfId="2846" xr:uid="{00000000-0005-0000-0000-000050090000}"/>
    <cellStyle name="Style 1216 11 2" xfId="4735" xr:uid="{00000000-0005-0000-0000-000051090000}"/>
    <cellStyle name="Style 1216 12" xfId="3083" xr:uid="{00000000-0005-0000-0000-000052090000}"/>
    <cellStyle name="Style 1216 12 2" xfId="4969" xr:uid="{00000000-0005-0000-0000-000053090000}"/>
    <cellStyle name="Style 1216 13" xfId="5205" xr:uid="{00000000-0005-0000-0000-000054090000}"/>
    <cellStyle name="Style 1216 13 2" xfId="6665" xr:uid="{00000000-0005-0000-0000-000054090000}"/>
    <cellStyle name="Style 1216 14" xfId="5584" xr:uid="{00000000-0005-0000-0000-000055090000}"/>
    <cellStyle name="Style 1216 14 2" xfId="7005" xr:uid="{00000000-0005-0000-0000-000055090000}"/>
    <cellStyle name="Style 1216 15" xfId="5656" xr:uid="{00000000-0005-0000-0000-000056090000}"/>
    <cellStyle name="Style 1216 15 2" xfId="7076" xr:uid="{00000000-0005-0000-0000-000056090000}"/>
    <cellStyle name="Style 1216 16" xfId="5788" xr:uid="{00000000-0005-0000-0000-000057090000}"/>
    <cellStyle name="Style 1216 16 2" xfId="7208" xr:uid="{00000000-0005-0000-0000-000057090000}"/>
    <cellStyle name="Style 1216 17" xfId="6044" xr:uid="{00000000-0005-0000-0000-000058090000}"/>
    <cellStyle name="Style 1216 17 2" xfId="7464" xr:uid="{00000000-0005-0000-0000-000058090000}"/>
    <cellStyle name="Style 1216 18" xfId="6279" xr:uid="{00000000-0005-0000-0000-000059090000}"/>
    <cellStyle name="Style 1216 18 2" xfId="7557" xr:uid="{00000000-0005-0000-0000-000059090000}"/>
    <cellStyle name="Style 1216 2" xfId="160" xr:uid="{00000000-0005-0000-0000-00005A090000}"/>
    <cellStyle name="Style 1216 2 10" xfId="2847" xr:uid="{00000000-0005-0000-0000-00005B090000}"/>
    <cellStyle name="Style 1216 2 10 2" xfId="4736" xr:uid="{00000000-0005-0000-0000-00005C090000}"/>
    <cellStyle name="Style 1216 2 11" xfId="3084" xr:uid="{00000000-0005-0000-0000-00005D090000}"/>
    <cellStyle name="Style 1216 2 11 2" xfId="4970" xr:uid="{00000000-0005-0000-0000-00005E090000}"/>
    <cellStyle name="Style 1216 2 12" xfId="5206" xr:uid="{00000000-0005-0000-0000-00005F090000}"/>
    <cellStyle name="Style 1216 2 12 2" xfId="6666" xr:uid="{00000000-0005-0000-0000-00005F090000}"/>
    <cellStyle name="Style 1216 2 13" xfId="5657" xr:uid="{00000000-0005-0000-0000-000060090000}"/>
    <cellStyle name="Style 1216 2 13 2" xfId="7077" xr:uid="{00000000-0005-0000-0000-000060090000}"/>
    <cellStyle name="Style 1216 2 14" xfId="5789" xr:uid="{00000000-0005-0000-0000-000061090000}"/>
    <cellStyle name="Style 1216 2 14 2" xfId="7209" xr:uid="{00000000-0005-0000-0000-000061090000}"/>
    <cellStyle name="Style 1216 2 15" xfId="6280" xr:uid="{00000000-0005-0000-0000-000062090000}"/>
    <cellStyle name="Style 1216 2 15 2" xfId="7558" xr:uid="{00000000-0005-0000-0000-000062090000}"/>
    <cellStyle name="Style 1216 2 2" xfId="394" xr:uid="{00000000-0005-0000-0000-000063090000}"/>
    <cellStyle name="Style 1216 2 2 2" xfId="867" xr:uid="{00000000-0005-0000-0000-000064090000}"/>
    <cellStyle name="Style 1216 2 2 3" xfId="8328" xr:uid="{87E7AA7C-DD98-49CF-83E0-1CD5E590FA64}"/>
    <cellStyle name="Style 1216 2 3" xfId="628" xr:uid="{00000000-0005-0000-0000-000065090000}"/>
    <cellStyle name="Style 1216 2 3 2" xfId="1101" xr:uid="{00000000-0005-0000-0000-000066090000}"/>
    <cellStyle name="Style 1216 2 3 3" xfId="8329" xr:uid="{3E333DF8-DDC2-43AE-9AE3-552274AFD512}"/>
    <cellStyle name="Style 1216 2 4" xfId="1341" xr:uid="{00000000-0005-0000-0000-000067090000}"/>
    <cellStyle name="Style 1216 2 4 2" xfId="3325" xr:uid="{00000000-0005-0000-0000-000068090000}"/>
    <cellStyle name="Style 1216 2 4 3" xfId="8330" xr:uid="{8B3B1D18-A40A-404F-9571-204E5048E9DE}"/>
    <cellStyle name="Style 1216 2 5" xfId="1636" xr:uid="{00000000-0005-0000-0000-000069090000}"/>
    <cellStyle name="Style 1216 2 5 2" xfId="3563" xr:uid="{00000000-0005-0000-0000-00006A090000}"/>
    <cellStyle name="Style 1216 2 6" xfId="1887" xr:uid="{00000000-0005-0000-0000-00006B090000}"/>
    <cellStyle name="Style 1216 2 6 2" xfId="3797" xr:uid="{00000000-0005-0000-0000-00006C090000}"/>
    <cellStyle name="Style 1216 2 7" xfId="2131" xr:uid="{00000000-0005-0000-0000-00006D090000}"/>
    <cellStyle name="Style 1216 2 7 2" xfId="4032" xr:uid="{00000000-0005-0000-0000-00006E090000}"/>
    <cellStyle name="Style 1216 2 8" xfId="2366" xr:uid="{00000000-0005-0000-0000-00006F090000}"/>
    <cellStyle name="Style 1216 2 8 2" xfId="4267" xr:uid="{00000000-0005-0000-0000-000070090000}"/>
    <cellStyle name="Style 1216 2 9" xfId="2613" xr:uid="{00000000-0005-0000-0000-000071090000}"/>
    <cellStyle name="Style 1216 2 9 2" xfId="4502" xr:uid="{00000000-0005-0000-0000-000072090000}"/>
    <cellStyle name="Style 1216 3" xfId="393" xr:uid="{00000000-0005-0000-0000-000073090000}"/>
    <cellStyle name="Style 1216 3 2" xfId="866" xr:uid="{00000000-0005-0000-0000-000074090000}"/>
    <cellStyle name="Style 1216 3 3" xfId="8331" xr:uid="{A38DB9F0-28B6-4EA8-B968-1F55A6A401E6}"/>
    <cellStyle name="Style 1216 4" xfId="627" xr:uid="{00000000-0005-0000-0000-000075090000}"/>
    <cellStyle name="Style 1216 4 2" xfId="1100" xr:uid="{00000000-0005-0000-0000-000076090000}"/>
    <cellStyle name="Style 1216 4 3" xfId="8332" xr:uid="{AD02711A-FA71-4434-8530-260F7091084C}"/>
    <cellStyle name="Style 1216 5" xfId="1340" xr:uid="{00000000-0005-0000-0000-000077090000}"/>
    <cellStyle name="Style 1216 5 2" xfId="3324" xr:uid="{00000000-0005-0000-0000-000078090000}"/>
    <cellStyle name="Style 1216 5 3" xfId="8333" xr:uid="{ECD11291-7BE5-464A-9D00-9699B32CCF31}"/>
    <cellStyle name="Style 1216 6" xfId="1635" xr:uid="{00000000-0005-0000-0000-000079090000}"/>
    <cellStyle name="Style 1216 6 2" xfId="3562" xr:uid="{00000000-0005-0000-0000-00007A090000}"/>
    <cellStyle name="Style 1216 7" xfId="1886" xr:uid="{00000000-0005-0000-0000-00007B090000}"/>
    <cellStyle name="Style 1216 7 2" xfId="3796" xr:uid="{00000000-0005-0000-0000-00007C090000}"/>
    <cellStyle name="Style 1216 8" xfId="2130" xr:uid="{00000000-0005-0000-0000-00007D090000}"/>
    <cellStyle name="Style 1216 8 2" xfId="4031" xr:uid="{00000000-0005-0000-0000-00007E090000}"/>
    <cellStyle name="Style 1216 9" xfId="2365" xr:uid="{00000000-0005-0000-0000-00007F090000}"/>
    <cellStyle name="Style 1216 9 2" xfId="4266" xr:uid="{00000000-0005-0000-0000-000080090000}"/>
    <cellStyle name="Style 1217" xfId="161" xr:uid="{00000000-0005-0000-0000-000081090000}"/>
    <cellStyle name="Style 1217 10" xfId="2614" xr:uid="{00000000-0005-0000-0000-000082090000}"/>
    <cellStyle name="Style 1217 10 2" xfId="4503" xr:uid="{00000000-0005-0000-0000-000083090000}"/>
    <cellStyle name="Style 1217 11" xfId="2848" xr:uid="{00000000-0005-0000-0000-000084090000}"/>
    <cellStyle name="Style 1217 11 2" xfId="4737" xr:uid="{00000000-0005-0000-0000-000085090000}"/>
    <cellStyle name="Style 1217 12" xfId="3085" xr:uid="{00000000-0005-0000-0000-000086090000}"/>
    <cellStyle name="Style 1217 12 2" xfId="4971" xr:uid="{00000000-0005-0000-0000-000087090000}"/>
    <cellStyle name="Style 1217 13" xfId="5207" xr:uid="{00000000-0005-0000-0000-000088090000}"/>
    <cellStyle name="Style 1217 13 2" xfId="6667" xr:uid="{00000000-0005-0000-0000-000088090000}"/>
    <cellStyle name="Style 1217 14" xfId="5585" xr:uid="{00000000-0005-0000-0000-000089090000}"/>
    <cellStyle name="Style 1217 14 2" xfId="7006" xr:uid="{00000000-0005-0000-0000-000089090000}"/>
    <cellStyle name="Style 1217 15" xfId="5658" xr:uid="{00000000-0005-0000-0000-00008A090000}"/>
    <cellStyle name="Style 1217 15 2" xfId="7078" xr:uid="{00000000-0005-0000-0000-00008A090000}"/>
    <cellStyle name="Style 1217 16" xfId="5790" xr:uid="{00000000-0005-0000-0000-00008B090000}"/>
    <cellStyle name="Style 1217 16 2" xfId="7210" xr:uid="{00000000-0005-0000-0000-00008B090000}"/>
    <cellStyle name="Style 1217 17" xfId="6045" xr:uid="{00000000-0005-0000-0000-00008C090000}"/>
    <cellStyle name="Style 1217 17 2" xfId="7465" xr:uid="{00000000-0005-0000-0000-00008C090000}"/>
    <cellStyle name="Style 1217 18" xfId="6281" xr:uid="{00000000-0005-0000-0000-00008D090000}"/>
    <cellStyle name="Style 1217 18 2" xfId="7559" xr:uid="{00000000-0005-0000-0000-00008D090000}"/>
    <cellStyle name="Style 1217 2" xfId="162" xr:uid="{00000000-0005-0000-0000-00008E090000}"/>
    <cellStyle name="Style 1217 2 10" xfId="2849" xr:uid="{00000000-0005-0000-0000-00008F090000}"/>
    <cellStyle name="Style 1217 2 10 2" xfId="4738" xr:uid="{00000000-0005-0000-0000-000090090000}"/>
    <cellStyle name="Style 1217 2 11" xfId="3086" xr:uid="{00000000-0005-0000-0000-000091090000}"/>
    <cellStyle name="Style 1217 2 11 2" xfId="4972" xr:uid="{00000000-0005-0000-0000-000092090000}"/>
    <cellStyle name="Style 1217 2 12" xfId="5208" xr:uid="{00000000-0005-0000-0000-000093090000}"/>
    <cellStyle name="Style 1217 2 12 2" xfId="6668" xr:uid="{00000000-0005-0000-0000-000093090000}"/>
    <cellStyle name="Style 1217 2 13" xfId="5659" xr:uid="{00000000-0005-0000-0000-000094090000}"/>
    <cellStyle name="Style 1217 2 13 2" xfId="7079" xr:uid="{00000000-0005-0000-0000-000094090000}"/>
    <cellStyle name="Style 1217 2 14" xfId="5791" xr:uid="{00000000-0005-0000-0000-000095090000}"/>
    <cellStyle name="Style 1217 2 14 2" xfId="7211" xr:uid="{00000000-0005-0000-0000-000095090000}"/>
    <cellStyle name="Style 1217 2 15" xfId="6282" xr:uid="{00000000-0005-0000-0000-000096090000}"/>
    <cellStyle name="Style 1217 2 15 2" xfId="7560" xr:uid="{00000000-0005-0000-0000-000096090000}"/>
    <cellStyle name="Style 1217 2 2" xfId="396" xr:uid="{00000000-0005-0000-0000-000097090000}"/>
    <cellStyle name="Style 1217 2 2 2" xfId="869" xr:uid="{00000000-0005-0000-0000-000098090000}"/>
    <cellStyle name="Style 1217 2 2 3" xfId="8334" xr:uid="{403FBCBB-B7AB-4B06-A49F-99A641CD6321}"/>
    <cellStyle name="Style 1217 2 3" xfId="630" xr:uid="{00000000-0005-0000-0000-000099090000}"/>
    <cellStyle name="Style 1217 2 3 2" xfId="1103" xr:uid="{00000000-0005-0000-0000-00009A090000}"/>
    <cellStyle name="Style 1217 2 3 3" xfId="8335" xr:uid="{83A42CA0-2AF9-4A77-AB9E-1B02D778417B}"/>
    <cellStyle name="Style 1217 2 4" xfId="1343" xr:uid="{00000000-0005-0000-0000-00009B090000}"/>
    <cellStyle name="Style 1217 2 4 2" xfId="3327" xr:uid="{00000000-0005-0000-0000-00009C090000}"/>
    <cellStyle name="Style 1217 2 4 3" xfId="8336" xr:uid="{A0010ED4-4B3F-43DE-B393-1389CFDCA241}"/>
    <cellStyle name="Style 1217 2 5" xfId="1638" xr:uid="{00000000-0005-0000-0000-00009D090000}"/>
    <cellStyle name="Style 1217 2 5 2" xfId="3565" xr:uid="{00000000-0005-0000-0000-00009E090000}"/>
    <cellStyle name="Style 1217 2 6" xfId="1889" xr:uid="{00000000-0005-0000-0000-00009F090000}"/>
    <cellStyle name="Style 1217 2 6 2" xfId="3799" xr:uid="{00000000-0005-0000-0000-0000A0090000}"/>
    <cellStyle name="Style 1217 2 7" xfId="2133" xr:uid="{00000000-0005-0000-0000-0000A1090000}"/>
    <cellStyle name="Style 1217 2 7 2" xfId="4034" xr:uid="{00000000-0005-0000-0000-0000A2090000}"/>
    <cellStyle name="Style 1217 2 8" xfId="2368" xr:uid="{00000000-0005-0000-0000-0000A3090000}"/>
    <cellStyle name="Style 1217 2 8 2" xfId="4269" xr:uid="{00000000-0005-0000-0000-0000A4090000}"/>
    <cellStyle name="Style 1217 2 9" xfId="2615" xr:uid="{00000000-0005-0000-0000-0000A5090000}"/>
    <cellStyle name="Style 1217 2 9 2" xfId="4504" xr:uid="{00000000-0005-0000-0000-0000A6090000}"/>
    <cellStyle name="Style 1217 3" xfId="395" xr:uid="{00000000-0005-0000-0000-0000A7090000}"/>
    <cellStyle name="Style 1217 3 2" xfId="868" xr:uid="{00000000-0005-0000-0000-0000A8090000}"/>
    <cellStyle name="Style 1217 3 3" xfId="8337" xr:uid="{BEEE954F-28A8-42B3-A59F-BF51D047A707}"/>
    <cellStyle name="Style 1217 4" xfId="629" xr:uid="{00000000-0005-0000-0000-0000A9090000}"/>
    <cellStyle name="Style 1217 4 2" xfId="1102" xr:uid="{00000000-0005-0000-0000-0000AA090000}"/>
    <cellStyle name="Style 1217 4 3" xfId="8338" xr:uid="{BB28E45B-4CFF-48A4-B607-A3776F2EBA2C}"/>
    <cellStyle name="Style 1217 5" xfId="1342" xr:uid="{00000000-0005-0000-0000-0000AB090000}"/>
    <cellStyle name="Style 1217 5 2" xfId="3326" xr:uid="{00000000-0005-0000-0000-0000AC090000}"/>
    <cellStyle name="Style 1217 5 3" xfId="8339" xr:uid="{9326E1B6-7E0E-4984-880E-0E3DC0BBF551}"/>
    <cellStyle name="Style 1217 6" xfId="1637" xr:uid="{00000000-0005-0000-0000-0000AD090000}"/>
    <cellStyle name="Style 1217 6 2" xfId="3564" xr:uid="{00000000-0005-0000-0000-0000AE090000}"/>
    <cellStyle name="Style 1217 7" xfId="1888" xr:uid="{00000000-0005-0000-0000-0000AF090000}"/>
    <cellStyle name="Style 1217 7 2" xfId="3798" xr:uid="{00000000-0005-0000-0000-0000B0090000}"/>
    <cellStyle name="Style 1217 8" xfId="2132" xr:uid="{00000000-0005-0000-0000-0000B1090000}"/>
    <cellStyle name="Style 1217 8 2" xfId="4033" xr:uid="{00000000-0005-0000-0000-0000B2090000}"/>
    <cellStyle name="Style 1217 9" xfId="2367" xr:uid="{00000000-0005-0000-0000-0000B3090000}"/>
    <cellStyle name="Style 1217 9 2" xfId="4268" xr:uid="{00000000-0005-0000-0000-0000B4090000}"/>
    <cellStyle name="Style 1218" xfId="163" xr:uid="{00000000-0005-0000-0000-0000B5090000}"/>
    <cellStyle name="Style 1218 10" xfId="2616" xr:uid="{00000000-0005-0000-0000-0000B6090000}"/>
    <cellStyle name="Style 1218 10 2" xfId="4505" xr:uid="{00000000-0005-0000-0000-0000B7090000}"/>
    <cellStyle name="Style 1218 11" xfId="2850" xr:uid="{00000000-0005-0000-0000-0000B8090000}"/>
    <cellStyle name="Style 1218 11 2" xfId="4739" xr:uid="{00000000-0005-0000-0000-0000B9090000}"/>
    <cellStyle name="Style 1218 12" xfId="3087" xr:uid="{00000000-0005-0000-0000-0000BA090000}"/>
    <cellStyle name="Style 1218 12 2" xfId="4973" xr:uid="{00000000-0005-0000-0000-0000BB090000}"/>
    <cellStyle name="Style 1218 13" xfId="5209" xr:uid="{00000000-0005-0000-0000-0000BC090000}"/>
    <cellStyle name="Style 1218 13 2" xfId="6669" xr:uid="{00000000-0005-0000-0000-0000BC090000}"/>
    <cellStyle name="Style 1218 14" xfId="5586" xr:uid="{00000000-0005-0000-0000-0000BD090000}"/>
    <cellStyle name="Style 1218 15" xfId="5660" xr:uid="{00000000-0005-0000-0000-0000BE090000}"/>
    <cellStyle name="Style 1218 15 2" xfId="7080" xr:uid="{00000000-0005-0000-0000-0000BE090000}"/>
    <cellStyle name="Style 1218 16" xfId="5792" xr:uid="{00000000-0005-0000-0000-0000BF090000}"/>
    <cellStyle name="Style 1218 16 2" xfId="7212" xr:uid="{00000000-0005-0000-0000-0000BF090000}"/>
    <cellStyle name="Style 1218 17" xfId="6046" xr:uid="{00000000-0005-0000-0000-0000C0090000}"/>
    <cellStyle name="Style 1218 17 2" xfId="7466" xr:uid="{00000000-0005-0000-0000-0000C0090000}"/>
    <cellStyle name="Style 1218 18" xfId="6283" xr:uid="{00000000-0005-0000-0000-0000C1090000}"/>
    <cellStyle name="Style 1218 18 2" xfId="7561" xr:uid="{00000000-0005-0000-0000-0000C1090000}"/>
    <cellStyle name="Style 1218 2" xfId="164" xr:uid="{00000000-0005-0000-0000-0000C2090000}"/>
    <cellStyle name="Style 1218 2 10" xfId="2851" xr:uid="{00000000-0005-0000-0000-0000C3090000}"/>
    <cellStyle name="Style 1218 2 10 2" xfId="4740" xr:uid="{00000000-0005-0000-0000-0000C4090000}"/>
    <cellStyle name="Style 1218 2 11" xfId="3088" xr:uid="{00000000-0005-0000-0000-0000C5090000}"/>
    <cellStyle name="Style 1218 2 11 2" xfId="4974" xr:uid="{00000000-0005-0000-0000-0000C6090000}"/>
    <cellStyle name="Style 1218 2 12" xfId="5210" xr:uid="{00000000-0005-0000-0000-0000C7090000}"/>
    <cellStyle name="Style 1218 2 12 2" xfId="6670" xr:uid="{00000000-0005-0000-0000-0000C7090000}"/>
    <cellStyle name="Style 1218 2 13" xfId="5661" xr:uid="{00000000-0005-0000-0000-0000C8090000}"/>
    <cellStyle name="Style 1218 2 13 2" xfId="7081" xr:uid="{00000000-0005-0000-0000-0000C8090000}"/>
    <cellStyle name="Style 1218 2 14" xfId="5793" xr:uid="{00000000-0005-0000-0000-0000C9090000}"/>
    <cellStyle name="Style 1218 2 14 2" xfId="7213" xr:uid="{00000000-0005-0000-0000-0000C9090000}"/>
    <cellStyle name="Style 1218 2 15" xfId="6284" xr:uid="{00000000-0005-0000-0000-0000CA090000}"/>
    <cellStyle name="Style 1218 2 15 2" xfId="7562" xr:uid="{00000000-0005-0000-0000-0000CA090000}"/>
    <cellStyle name="Style 1218 2 2" xfId="398" xr:uid="{00000000-0005-0000-0000-0000CB090000}"/>
    <cellStyle name="Style 1218 2 2 2" xfId="871" xr:uid="{00000000-0005-0000-0000-0000CC090000}"/>
    <cellStyle name="Style 1218 2 2 3" xfId="8340" xr:uid="{4466590A-34A5-47E7-8C75-492C90B382C3}"/>
    <cellStyle name="Style 1218 2 3" xfId="632" xr:uid="{00000000-0005-0000-0000-0000CD090000}"/>
    <cellStyle name="Style 1218 2 3 2" xfId="1105" xr:uid="{00000000-0005-0000-0000-0000CE090000}"/>
    <cellStyle name="Style 1218 2 3 3" xfId="8341" xr:uid="{7BCDF988-1CC1-44CE-8CC9-D6377C8BC749}"/>
    <cellStyle name="Style 1218 2 4" xfId="1345" xr:uid="{00000000-0005-0000-0000-0000CF090000}"/>
    <cellStyle name="Style 1218 2 4 2" xfId="3329" xr:uid="{00000000-0005-0000-0000-0000D0090000}"/>
    <cellStyle name="Style 1218 2 4 3" xfId="8342" xr:uid="{3B21CE55-96D6-4766-8C31-D95F2B18C60B}"/>
    <cellStyle name="Style 1218 2 5" xfId="1640" xr:uid="{00000000-0005-0000-0000-0000D1090000}"/>
    <cellStyle name="Style 1218 2 5 2" xfId="3567" xr:uid="{00000000-0005-0000-0000-0000D2090000}"/>
    <cellStyle name="Style 1218 2 6" xfId="1891" xr:uid="{00000000-0005-0000-0000-0000D3090000}"/>
    <cellStyle name="Style 1218 2 6 2" xfId="3801" xr:uid="{00000000-0005-0000-0000-0000D4090000}"/>
    <cellStyle name="Style 1218 2 7" xfId="2135" xr:uid="{00000000-0005-0000-0000-0000D5090000}"/>
    <cellStyle name="Style 1218 2 7 2" xfId="4036" xr:uid="{00000000-0005-0000-0000-0000D6090000}"/>
    <cellStyle name="Style 1218 2 8" xfId="2370" xr:uid="{00000000-0005-0000-0000-0000D7090000}"/>
    <cellStyle name="Style 1218 2 8 2" xfId="4271" xr:uid="{00000000-0005-0000-0000-0000D8090000}"/>
    <cellStyle name="Style 1218 2 9" xfId="2617" xr:uid="{00000000-0005-0000-0000-0000D9090000}"/>
    <cellStyle name="Style 1218 2 9 2" xfId="4506" xr:uid="{00000000-0005-0000-0000-0000DA090000}"/>
    <cellStyle name="Style 1218 3" xfId="397" xr:uid="{00000000-0005-0000-0000-0000DB090000}"/>
    <cellStyle name="Style 1218 3 2" xfId="870" xr:uid="{00000000-0005-0000-0000-0000DC090000}"/>
    <cellStyle name="Style 1218 3 3" xfId="8343" xr:uid="{6537F817-CDCD-4004-A0A9-E0CBE01D041B}"/>
    <cellStyle name="Style 1218 4" xfId="631" xr:uid="{00000000-0005-0000-0000-0000DD090000}"/>
    <cellStyle name="Style 1218 4 2" xfId="1104" xr:uid="{00000000-0005-0000-0000-0000DE090000}"/>
    <cellStyle name="Style 1218 4 3" xfId="8344" xr:uid="{92C2A942-5857-4B74-8A76-45743F736031}"/>
    <cellStyle name="Style 1218 5" xfId="1344" xr:uid="{00000000-0005-0000-0000-0000DF090000}"/>
    <cellStyle name="Style 1218 5 2" xfId="3328" xr:uid="{00000000-0005-0000-0000-0000E0090000}"/>
    <cellStyle name="Style 1218 5 3" xfId="8345" xr:uid="{9C132CDC-C174-49C3-BF4D-F0F5447017CA}"/>
    <cellStyle name="Style 1218 6" xfId="1639" xr:uid="{00000000-0005-0000-0000-0000E1090000}"/>
    <cellStyle name="Style 1218 6 2" xfId="3566" xr:uid="{00000000-0005-0000-0000-0000E2090000}"/>
    <cellStyle name="Style 1218 7" xfId="1890" xr:uid="{00000000-0005-0000-0000-0000E3090000}"/>
    <cellStyle name="Style 1218 7 2" xfId="3800" xr:uid="{00000000-0005-0000-0000-0000E4090000}"/>
    <cellStyle name="Style 1218 8" xfId="2134" xr:uid="{00000000-0005-0000-0000-0000E5090000}"/>
    <cellStyle name="Style 1218 8 2" xfId="4035" xr:uid="{00000000-0005-0000-0000-0000E6090000}"/>
    <cellStyle name="Style 1218 9" xfId="2369" xr:uid="{00000000-0005-0000-0000-0000E7090000}"/>
    <cellStyle name="Style 1218 9 2" xfId="4270" xr:uid="{00000000-0005-0000-0000-0000E8090000}"/>
    <cellStyle name="Style 1219" xfId="165" xr:uid="{00000000-0005-0000-0000-0000E9090000}"/>
    <cellStyle name="Style 1219 10" xfId="2618" xr:uid="{00000000-0005-0000-0000-0000EA090000}"/>
    <cellStyle name="Style 1219 10 2" xfId="4507" xr:uid="{00000000-0005-0000-0000-0000EB090000}"/>
    <cellStyle name="Style 1219 11" xfId="2852" xr:uid="{00000000-0005-0000-0000-0000EC090000}"/>
    <cellStyle name="Style 1219 11 2" xfId="4741" xr:uid="{00000000-0005-0000-0000-0000ED090000}"/>
    <cellStyle name="Style 1219 12" xfId="3089" xr:uid="{00000000-0005-0000-0000-0000EE090000}"/>
    <cellStyle name="Style 1219 12 2" xfId="4975" xr:uid="{00000000-0005-0000-0000-0000EF090000}"/>
    <cellStyle name="Style 1219 13" xfId="5211" xr:uid="{00000000-0005-0000-0000-0000F0090000}"/>
    <cellStyle name="Style 1219 13 2" xfId="6671" xr:uid="{00000000-0005-0000-0000-0000F0090000}"/>
    <cellStyle name="Style 1219 14" xfId="5662" xr:uid="{00000000-0005-0000-0000-0000F1090000}"/>
    <cellStyle name="Style 1219 14 2" xfId="7082" xr:uid="{00000000-0005-0000-0000-0000F1090000}"/>
    <cellStyle name="Style 1219 15" xfId="5794" xr:uid="{00000000-0005-0000-0000-0000F2090000}"/>
    <cellStyle name="Style 1219 15 2" xfId="7214" xr:uid="{00000000-0005-0000-0000-0000F2090000}"/>
    <cellStyle name="Style 1219 16" xfId="6285" xr:uid="{00000000-0005-0000-0000-0000F3090000}"/>
    <cellStyle name="Style 1219 16 2" xfId="7563" xr:uid="{00000000-0005-0000-0000-0000F3090000}"/>
    <cellStyle name="Style 1219 2" xfId="166" xr:uid="{00000000-0005-0000-0000-0000F4090000}"/>
    <cellStyle name="Style 1219 2 10" xfId="2853" xr:uid="{00000000-0005-0000-0000-0000F5090000}"/>
    <cellStyle name="Style 1219 2 10 2" xfId="4742" xr:uid="{00000000-0005-0000-0000-0000F6090000}"/>
    <cellStyle name="Style 1219 2 11" xfId="3090" xr:uid="{00000000-0005-0000-0000-0000F7090000}"/>
    <cellStyle name="Style 1219 2 11 2" xfId="4976" xr:uid="{00000000-0005-0000-0000-0000F8090000}"/>
    <cellStyle name="Style 1219 2 12" xfId="5212" xr:uid="{00000000-0005-0000-0000-0000F9090000}"/>
    <cellStyle name="Style 1219 2 12 2" xfId="6672" xr:uid="{00000000-0005-0000-0000-0000F9090000}"/>
    <cellStyle name="Style 1219 2 13" xfId="5663" xr:uid="{00000000-0005-0000-0000-0000FA090000}"/>
    <cellStyle name="Style 1219 2 13 2" xfId="7083" xr:uid="{00000000-0005-0000-0000-0000FA090000}"/>
    <cellStyle name="Style 1219 2 14" xfId="5795" xr:uid="{00000000-0005-0000-0000-0000FB090000}"/>
    <cellStyle name="Style 1219 2 14 2" xfId="7215" xr:uid="{00000000-0005-0000-0000-0000FB090000}"/>
    <cellStyle name="Style 1219 2 15" xfId="6286" xr:uid="{00000000-0005-0000-0000-0000FC090000}"/>
    <cellStyle name="Style 1219 2 15 2" xfId="7564" xr:uid="{00000000-0005-0000-0000-0000FC090000}"/>
    <cellStyle name="Style 1219 2 2" xfId="400" xr:uid="{00000000-0005-0000-0000-0000FD090000}"/>
    <cellStyle name="Style 1219 2 2 2" xfId="873" xr:uid="{00000000-0005-0000-0000-0000FE090000}"/>
    <cellStyle name="Style 1219 2 2 3" xfId="8346" xr:uid="{2497DD84-28D6-4583-888D-30A52AD80ABC}"/>
    <cellStyle name="Style 1219 2 3" xfId="634" xr:uid="{00000000-0005-0000-0000-0000FF090000}"/>
    <cellStyle name="Style 1219 2 3 2" xfId="1107" xr:uid="{00000000-0005-0000-0000-0000000A0000}"/>
    <cellStyle name="Style 1219 2 3 3" xfId="8347" xr:uid="{87D331DD-8756-4AEC-9292-A6E0554124C4}"/>
    <cellStyle name="Style 1219 2 4" xfId="1347" xr:uid="{00000000-0005-0000-0000-0000010A0000}"/>
    <cellStyle name="Style 1219 2 4 2" xfId="3331" xr:uid="{00000000-0005-0000-0000-0000020A0000}"/>
    <cellStyle name="Style 1219 2 4 3" xfId="8348" xr:uid="{4BFBC47F-7E19-4FEE-BFB0-1C62CC6D4E4B}"/>
    <cellStyle name="Style 1219 2 5" xfId="1642" xr:uid="{00000000-0005-0000-0000-0000030A0000}"/>
    <cellStyle name="Style 1219 2 5 2" xfId="3569" xr:uid="{00000000-0005-0000-0000-0000040A0000}"/>
    <cellStyle name="Style 1219 2 6" xfId="1893" xr:uid="{00000000-0005-0000-0000-0000050A0000}"/>
    <cellStyle name="Style 1219 2 6 2" xfId="3803" xr:uid="{00000000-0005-0000-0000-0000060A0000}"/>
    <cellStyle name="Style 1219 2 7" xfId="2137" xr:uid="{00000000-0005-0000-0000-0000070A0000}"/>
    <cellStyle name="Style 1219 2 7 2" xfId="4038" xr:uid="{00000000-0005-0000-0000-0000080A0000}"/>
    <cellStyle name="Style 1219 2 8" xfId="2372" xr:uid="{00000000-0005-0000-0000-0000090A0000}"/>
    <cellStyle name="Style 1219 2 8 2" xfId="4273" xr:uid="{00000000-0005-0000-0000-00000A0A0000}"/>
    <cellStyle name="Style 1219 2 9" xfId="2619" xr:uid="{00000000-0005-0000-0000-00000B0A0000}"/>
    <cellStyle name="Style 1219 2 9 2" xfId="4508" xr:uid="{00000000-0005-0000-0000-00000C0A0000}"/>
    <cellStyle name="Style 1219 3" xfId="399" xr:uid="{00000000-0005-0000-0000-00000D0A0000}"/>
    <cellStyle name="Style 1219 3 2" xfId="872" xr:uid="{00000000-0005-0000-0000-00000E0A0000}"/>
    <cellStyle name="Style 1219 3 3" xfId="8349" xr:uid="{2740F337-FE5D-4B40-B3CC-B9AFCB5CF0EC}"/>
    <cellStyle name="Style 1219 4" xfId="633" xr:uid="{00000000-0005-0000-0000-00000F0A0000}"/>
    <cellStyle name="Style 1219 4 2" xfId="1106" xr:uid="{00000000-0005-0000-0000-0000100A0000}"/>
    <cellStyle name="Style 1219 4 3" xfId="8350" xr:uid="{09BA02C4-719B-4B38-94F6-463AEF041F94}"/>
    <cellStyle name="Style 1219 5" xfId="1346" xr:uid="{00000000-0005-0000-0000-0000110A0000}"/>
    <cellStyle name="Style 1219 5 2" xfId="3330" xr:uid="{00000000-0005-0000-0000-0000120A0000}"/>
    <cellStyle name="Style 1219 6" xfId="1641" xr:uid="{00000000-0005-0000-0000-0000130A0000}"/>
    <cellStyle name="Style 1219 6 2" xfId="3568" xr:uid="{00000000-0005-0000-0000-0000140A0000}"/>
    <cellStyle name="Style 1219 7" xfId="1892" xr:uid="{00000000-0005-0000-0000-0000150A0000}"/>
    <cellStyle name="Style 1219 7 2" xfId="3802" xr:uid="{00000000-0005-0000-0000-0000160A0000}"/>
    <cellStyle name="Style 1219 8" xfId="2136" xr:uid="{00000000-0005-0000-0000-0000170A0000}"/>
    <cellStyle name="Style 1219 8 2" xfId="4037" xr:uid="{00000000-0005-0000-0000-0000180A0000}"/>
    <cellStyle name="Style 1219 9" xfId="2371" xr:uid="{00000000-0005-0000-0000-0000190A0000}"/>
    <cellStyle name="Style 1219 9 2" xfId="4272" xr:uid="{00000000-0005-0000-0000-00001A0A0000}"/>
    <cellStyle name="Style 1220" xfId="167" xr:uid="{00000000-0005-0000-0000-00001B0A0000}"/>
    <cellStyle name="Style 1220 10" xfId="2620" xr:uid="{00000000-0005-0000-0000-00001C0A0000}"/>
    <cellStyle name="Style 1220 10 2" xfId="4509" xr:uid="{00000000-0005-0000-0000-00001D0A0000}"/>
    <cellStyle name="Style 1220 11" xfId="2854" xr:uid="{00000000-0005-0000-0000-00001E0A0000}"/>
    <cellStyle name="Style 1220 11 2" xfId="4743" xr:uid="{00000000-0005-0000-0000-00001F0A0000}"/>
    <cellStyle name="Style 1220 12" xfId="3091" xr:uid="{00000000-0005-0000-0000-0000200A0000}"/>
    <cellStyle name="Style 1220 12 2" xfId="4977" xr:uid="{00000000-0005-0000-0000-0000210A0000}"/>
    <cellStyle name="Style 1220 13" xfId="5213" xr:uid="{00000000-0005-0000-0000-0000220A0000}"/>
    <cellStyle name="Style 1220 13 2" xfId="6673" xr:uid="{00000000-0005-0000-0000-0000220A0000}"/>
    <cellStyle name="Style 1220 14" xfId="5664" xr:uid="{00000000-0005-0000-0000-0000230A0000}"/>
    <cellStyle name="Style 1220 14 2" xfId="7084" xr:uid="{00000000-0005-0000-0000-0000230A0000}"/>
    <cellStyle name="Style 1220 15" xfId="5796" xr:uid="{00000000-0005-0000-0000-0000240A0000}"/>
    <cellStyle name="Style 1220 15 2" xfId="7216" xr:uid="{00000000-0005-0000-0000-0000240A0000}"/>
    <cellStyle name="Style 1220 16" xfId="6287" xr:uid="{00000000-0005-0000-0000-0000250A0000}"/>
    <cellStyle name="Style 1220 16 2" xfId="7565" xr:uid="{00000000-0005-0000-0000-0000250A0000}"/>
    <cellStyle name="Style 1220 2" xfId="168" xr:uid="{00000000-0005-0000-0000-0000260A0000}"/>
    <cellStyle name="Style 1220 2 10" xfId="2855" xr:uid="{00000000-0005-0000-0000-0000270A0000}"/>
    <cellStyle name="Style 1220 2 10 2" xfId="4744" xr:uid="{00000000-0005-0000-0000-0000280A0000}"/>
    <cellStyle name="Style 1220 2 11" xfId="3092" xr:uid="{00000000-0005-0000-0000-0000290A0000}"/>
    <cellStyle name="Style 1220 2 11 2" xfId="4978" xr:uid="{00000000-0005-0000-0000-00002A0A0000}"/>
    <cellStyle name="Style 1220 2 12" xfId="5214" xr:uid="{00000000-0005-0000-0000-00002B0A0000}"/>
    <cellStyle name="Style 1220 2 12 2" xfId="6674" xr:uid="{00000000-0005-0000-0000-00002B0A0000}"/>
    <cellStyle name="Style 1220 2 13" xfId="5665" xr:uid="{00000000-0005-0000-0000-00002C0A0000}"/>
    <cellStyle name="Style 1220 2 13 2" xfId="7085" xr:uid="{00000000-0005-0000-0000-00002C0A0000}"/>
    <cellStyle name="Style 1220 2 14" xfId="5797" xr:uid="{00000000-0005-0000-0000-00002D0A0000}"/>
    <cellStyle name="Style 1220 2 14 2" xfId="7217" xr:uid="{00000000-0005-0000-0000-00002D0A0000}"/>
    <cellStyle name="Style 1220 2 15" xfId="6288" xr:uid="{00000000-0005-0000-0000-00002E0A0000}"/>
    <cellStyle name="Style 1220 2 15 2" xfId="7566" xr:uid="{00000000-0005-0000-0000-00002E0A0000}"/>
    <cellStyle name="Style 1220 2 2" xfId="402" xr:uid="{00000000-0005-0000-0000-00002F0A0000}"/>
    <cellStyle name="Style 1220 2 2 2" xfId="875" xr:uid="{00000000-0005-0000-0000-0000300A0000}"/>
    <cellStyle name="Style 1220 2 2 3" xfId="8351" xr:uid="{F71B4B3C-6974-453F-A29C-CBE87CA7F6DE}"/>
    <cellStyle name="Style 1220 2 3" xfId="636" xr:uid="{00000000-0005-0000-0000-0000310A0000}"/>
    <cellStyle name="Style 1220 2 3 2" xfId="1109" xr:uid="{00000000-0005-0000-0000-0000320A0000}"/>
    <cellStyle name="Style 1220 2 3 3" xfId="8352" xr:uid="{B3EDE968-DD51-4111-B2AC-90760F192762}"/>
    <cellStyle name="Style 1220 2 4" xfId="1349" xr:uid="{00000000-0005-0000-0000-0000330A0000}"/>
    <cellStyle name="Style 1220 2 4 2" xfId="3333" xr:uid="{00000000-0005-0000-0000-0000340A0000}"/>
    <cellStyle name="Style 1220 2 4 3" xfId="8353" xr:uid="{342E7483-A444-4955-9E9B-24D3CFA694D6}"/>
    <cellStyle name="Style 1220 2 5" xfId="1644" xr:uid="{00000000-0005-0000-0000-0000350A0000}"/>
    <cellStyle name="Style 1220 2 5 2" xfId="3571" xr:uid="{00000000-0005-0000-0000-0000360A0000}"/>
    <cellStyle name="Style 1220 2 6" xfId="1895" xr:uid="{00000000-0005-0000-0000-0000370A0000}"/>
    <cellStyle name="Style 1220 2 6 2" xfId="3805" xr:uid="{00000000-0005-0000-0000-0000380A0000}"/>
    <cellStyle name="Style 1220 2 7" xfId="2139" xr:uid="{00000000-0005-0000-0000-0000390A0000}"/>
    <cellStyle name="Style 1220 2 7 2" xfId="4040" xr:uid="{00000000-0005-0000-0000-00003A0A0000}"/>
    <cellStyle name="Style 1220 2 8" xfId="2374" xr:uid="{00000000-0005-0000-0000-00003B0A0000}"/>
    <cellStyle name="Style 1220 2 8 2" xfId="4275" xr:uid="{00000000-0005-0000-0000-00003C0A0000}"/>
    <cellStyle name="Style 1220 2 9" xfId="2621" xr:uid="{00000000-0005-0000-0000-00003D0A0000}"/>
    <cellStyle name="Style 1220 2 9 2" xfId="4510" xr:uid="{00000000-0005-0000-0000-00003E0A0000}"/>
    <cellStyle name="Style 1220 3" xfId="401" xr:uid="{00000000-0005-0000-0000-00003F0A0000}"/>
    <cellStyle name="Style 1220 3 2" xfId="874" xr:uid="{00000000-0005-0000-0000-0000400A0000}"/>
    <cellStyle name="Style 1220 3 3" xfId="8354" xr:uid="{8B4C1063-A172-42F9-97F2-E887B95C2AE5}"/>
    <cellStyle name="Style 1220 4" xfId="635" xr:uid="{00000000-0005-0000-0000-0000410A0000}"/>
    <cellStyle name="Style 1220 4 2" xfId="1108" xr:uid="{00000000-0005-0000-0000-0000420A0000}"/>
    <cellStyle name="Style 1220 4 3" xfId="8355" xr:uid="{2C172294-77AA-444D-A724-2D6FDD012ADF}"/>
    <cellStyle name="Style 1220 5" xfId="1348" xr:uid="{00000000-0005-0000-0000-0000430A0000}"/>
    <cellStyle name="Style 1220 5 2" xfId="3332" xr:uid="{00000000-0005-0000-0000-0000440A0000}"/>
    <cellStyle name="Style 1220 6" xfId="1643" xr:uid="{00000000-0005-0000-0000-0000450A0000}"/>
    <cellStyle name="Style 1220 6 2" xfId="3570" xr:uid="{00000000-0005-0000-0000-0000460A0000}"/>
    <cellStyle name="Style 1220 7" xfId="1894" xr:uid="{00000000-0005-0000-0000-0000470A0000}"/>
    <cellStyle name="Style 1220 7 2" xfId="3804" xr:uid="{00000000-0005-0000-0000-0000480A0000}"/>
    <cellStyle name="Style 1220 8" xfId="2138" xr:uid="{00000000-0005-0000-0000-0000490A0000}"/>
    <cellStyle name="Style 1220 8 2" xfId="4039" xr:uid="{00000000-0005-0000-0000-00004A0A0000}"/>
    <cellStyle name="Style 1220 9" xfId="2373" xr:uid="{00000000-0005-0000-0000-00004B0A0000}"/>
    <cellStyle name="Style 1220 9 2" xfId="4274" xr:uid="{00000000-0005-0000-0000-00004C0A0000}"/>
    <cellStyle name="Style 1221" xfId="169" xr:uid="{00000000-0005-0000-0000-00004D0A0000}"/>
    <cellStyle name="Style 1221 10" xfId="2622" xr:uid="{00000000-0005-0000-0000-00004E0A0000}"/>
    <cellStyle name="Style 1221 10 2" xfId="4511" xr:uid="{00000000-0005-0000-0000-00004F0A0000}"/>
    <cellStyle name="Style 1221 11" xfId="2856" xr:uid="{00000000-0005-0000-0000-0000500A0000}"/>
    <cellStyle name="Style 1221 11 2" xfId="4745" xr:uid="{00000000-0005-0000-0000-0000510A0000}"/>
    <cellStyle name="Style 1221 12" xfId="3093" xr:uid="{00000000-0005-0000-0000-0000520A0000}"/>
    <cellStyle name="Style 1221 12 2" xfId="4979" xr:uid="{00000000-0005-0000-0000-0000530A0000}"/>
    <cellStyle name="Style 1221 13" xfId="5215" xr:uid="{00000000-0005-0000-0000-0000540A0000}"/>
    <cellStyle name="Style 1221 13 2" xfId="6675" xr:uid="{00000000-0005-0000-0000-0000540A0000}"/>
    <cellStyle name="Style 1221 14" xfId="5666" xr:uid="{00000000-0005-0000-0000-0000550A0000}"/>
    <cellStyle name="Style 1221 14 2" xfId="7086" xr:uid="{00000000-0005-0000-0000-0000550A0000}"/>
    <cellStyle name="Style 1221 15" xfId="5798" xr:uid="{00000000-0005-0000-0000-0000560A0000}"/>
    <cellStyle name="Style 1221 15 2" xfId="7218" xr:uid="{00000000-0005-0000-0000-0000560A0000}"/>
    <cellStyle name="Style 1221 16" xfId="6289" xr:uid="{00000000-0005-0000-0000-0000570A0000}"/>
    <cellStyle name="Style 1221 16 2" xfId="7567" xr:uid="{00000000-0005-0000-0000-0000570A0000}"/>
    <cellStyle name="Style 1221 2" xfId="170" xr:uid="{00000000-0005-0000-0000-0000580A0000}"/>
    <cellStyle name="Style 1221 2 10" xfId="2857" xr:uid="{00000000-0005-0000-0000-0000590A0000}"/>
    <cellStyle name="Style 1221 2 10 2" xfId="4746" xr:uid="{00000000-0005-0000-0000-00005A0A0000}"/>
    <cellStyle name="Style 1221 2 11" xfId="3094" xr:uid="{00000000-0005-0000-0000-00005B0A0000}"/>
    <cellStyle name="Style 1221 2 11 2" xfId="4980" xr:uid="{00000000-0005-0000-0000-00005C0A0000}"/>
    <cellStyle name="Style 1221 2 12" xfId="5216" xr:uid="{00000000-0005-0000-0000-00005D0A0000}"/>
    <cellStyle name="Style 1221 2 12 2" xfId="6676" xr:uid="{00000000-0005-0000-0000-00005D0A0000}"/>
    <cellStyle name="Style 1221 2 13" xfId="5667" xr:uid="{00000000-0005-0000-0000-00005E0A0000}"/>
    <cellStyle name="Style 1221 2 13 2" xfId="7087" xr:uid="{00000000-0005-0000-0000-00005E0A0000}"/>
    <cellStyle name="Style 1221 2 14" xfId="5799" xr:uid="{00000000-0005-0000-0000-00005F0A0000}"/>
    <cellStyle name="Style 1221 2 14 2" xfId="7219" xr:uid="{00000000-0005-0000-0000-00005F0A0000}"/>
    <cellStyle name="Style 1221 2 15" xfId="6290" xr:uid="{00000000-0005-0000-0000-0000600A0000}"/>
    <cellStyle name="Style 1221 2 15 2" xfId="7568" xr:uid="{00000000-0005-0000-0000-0000600A0000}"/>
    <cellStyle name="Style 1221 2 2" xfId="404" xr:uid="{00000000-0005-0000-0000-0000610A0000}"/>
    <cellStyle name="Style 1221 2 2 2" xfId="877" xr:uid="{00000000-0005-0000-0000-0000620A0000}"/>
    <cellStyle name="Style 1221 2 2 3" xfId="8356" xr:uid="{2BA04D40-E550-43EE-B765-4897A754E47A}"/>
    <cellStyle name="Style 1221 2 3" xfId="638" xr:uid="{00000000-0005-0000-0000-0000630A0000}"/>
    <cellStyle name="Style 1221 2 3 2" xfId="1111" xr:uid="{00000000-0005-0000-0000-0000640A0000}"/>
    <cellStyle name="Style 1221 2 3 3" xfId="8357" xr:uid="{6266861A-E16C-41DA-B55F-C6CBC0D1323E}"/>
    <cellStyle name="Style 1221 2 4" xfId="1351" xr:uid="{00000000-0005-0000-0000-0000650A0000}"/>
    <cellStyle name="Style 1221 2 4 2" xfId="3335" xr:uid="{00000000-0005-0000-0000-0000660A0000}"/>
    <cellStyle name="Style 1221 2 4 3" xfId="8358" xr:uid="{44CB4602-5D29-427A-9A06-13DA961BCFF6}"/>
    <cellStyle name="Style 1221 2 5" xfId="1646" xr:uid="{00000000-0005-0000-0000-0000670A0000}"/>
    <cellStyle name="Style 1221 2 5 2" xfId="3573" xr:uid="{00000000-0005-0000-0000-0000680A0000}"/>
    <cellStyle name="Style 1221 2 6" xfId="1897" xr:uid="{00000000-0005-0000-0000-0000690A0000}"/>
    <cellStyle name="Style 1221 2 6 2" xfId="3807" xr:uid="{00000000-0005-0000-0000-00006A0A0000}"/>
    <cellStyle name="Style 1221 2 7" xfId="2141" xr:uid="{00000000-0005-0000-0000-00006B0A0000}"/>
    <cellStyle name="Style 1221 2 7 2" xfId="4042" xr:uid="{00000000-0005-0000-0000-00006C0A0000}"/>
    <cellStyle name="Style 1221 2 8" xfId="2376" xr:uid="{00000000-0005-0000-0000-00006D0A0000}"/>
    <cellStyle name="Style 1221 2 8 2" xfId="4277" xr:uid="{00000000-0005-0000-0000-00006E0A0000}"/>
    <cellStyle name="Style 1221 2 9" xfId="2623" xr:uid="{00000000-0005-0000-0000-00006F0A0000}"/>
    <cellStyle name="Style 1221 2 9 2" xfId="4512" xr:uid="{00000000-0005-0000-0000-0000700A0000}"/>
    <cellStyle name="Style 1221 3" xfId="403" xr:uid="{00000000-0005-0000-0000-0000710A0000}"/>
    <cellStyle name="Style 1221 3 2" xfId="876" xr:uid="{00000000-0005-0000-0000-0000720A0000}"/>
    <cellStyle name="Style 1221 3 3" xfId="8359" xr:uid="{ACB5C372-F414-465C-9814-56B342A32C9C}"/>
    <cellStyle name="Style 1221 4" xfId="637" xr:uid="{00000000-0005-0000-0000-0000730A0000}"/>
    <cellStyle name="Style 1221 4 2" xfId="1110" xr:uid="{00000000-0005-0000-0000-0000740A0000}"/>
    <cellStyle name="Style 1221 4 3" xfId="8360" xr:uid="{9C23FC84-D607-4498-A6F1-61999DA1A137}"/>
    <cellStyle name="Style 1221 5" xfId="1350" xr:uid="{00000000-0005-0000-0000-0000750A0000}"/>
    <cellStyle name="Style 1221 5 2" xfId="3334" xr:uid="{00000000-0005-0000-0000-0000760A0000}"/>
    <cellStyle name="Style 1221 6" xfId="1645" xr:uid="{00000000-0005-0000-0000-0000770A0000}"/>
    <cellStyle name="Style 1221 6 2" xfId="3572" xr:uid="{00000000-0005-0000-0000-0000780A0000}"/>
    <cellStyle name="Style 1221 7" xfId="1896" xr:uid="{00000000-0005-0000-0000-0000790A0000}"/>
    <cellStyle name="Style 1221 7 2" xfId="3806" xr:uid="{00000000-0005-0000-0000-00007A0A0000}"/>
    <cellStyle name="Style 1221 8" xfId="2140" xr:uid="{00000000-0005-0000-0000-00007B0A0000}"/>
    <cellStyle name="Style 1221 8 2" xfId="4041" xr:uid="{00000000-0005-0000-0000-00007C0A0000}"/>
    <cellStyle name="Style 1221 9" xfId="2375" xr:uid="{00000000-0005-0000-0000-00007D0A0000}"/>
    <cellStyle name="Style 1221 9 2" xfId="4276" xr:uid="{00000000-0005-0000-0000-00007E0A0000}"/>
    <cellStyle name="Style 1222" xfId="171" xr:uid="{00000000-0005-0000-0000-00007F0A0000}"/>
    <cellStyle name="Style 1222 10" xfId="2858" xr:uid="{00000000-0005-0000-0000-0000800A0000}"/>
    <cellStyle name="Style 1222 10 2" xfId="4747" xr:uid="{00000000-0005-0000-0000-0000810A0000}"/>
    <cellStyle name="Style 1222 11" xfId="3095" xr:uid="{00000000-0005-0000-0000-0000820A0000}"/>
    <cellStyle name="Style 1222 11 2" xfId="4981" xr:uid="{00000000-0005-0000-0000-0000830A0000}"/>
    <cellStyle name="Style 1222 12" xfId="5217" xr:uid="{00000000-0005-0000-0000-0000840A0000}"/>
    <cellStyle name="Style 1222 12 2" xfId="6677" xr:uid="{00000000-0005-0000-0000-0000840A0000}"/>
    <cellStyle name="Style 1222 13" xfId="5668" xr:uid="{00000000-0005-0000-0000-0000850A0000}"/>
    <cellStyle name="Style 1222 13 2" xfId="7088" xr:uid="{00000000-0005-0000-0000-0000850A0000}"/>
    <cellStyle name="Style 1222 14" xfId="5800" xr:uid="{00000000-0005-0000-0000-0000860A0000}"/>
    <cellStyle name="Style 1222 14 2" xfId="7220" xr:uid="{00000000-0005-0000-0000-0000860A0000}"/>
    <cellStyle name="Style 1222 15" xfId="6291" xr:uid="{00000000-0005-0000-0000-0000870A0000}"/>
    <cellStyle name="Style 1222 15 2" xfId="7569" xr:uid="{00000000-0005-0000-0000-0000870A0000}"/>
    <cellStyle name="Style 1222 2" xfId="405" xr:uid="{00000000-0005-0000-0000-0000880A0000}"/>
    <cellStyle name="Style 1222 2 2" xfId="878" xr:uid="{00000000-0005-0000-0000-0000890A0000}"/>
    <cellStyle name="Style 1222 2 3" xfId="8361" xr:uid="{0A6C805E-6793-4546-B1C2-EF5FC103B57D}"/>
    <cellStyle name="Style 1222 3" xfId="639" xr:uid="{00000000-0005-0000-0000-00008A0A0000}"/>
    <cellStyle name="Style 1222 3 2" xfId="1112" xr:uid="{00000000-0005-0000-0000-00008B0A0000}"/>
    <cellStyle name="Style 1222 3 3" xfId="8362" xr:uid="{01BED6D5-7B52-4599-AC46-9AFD98D5C503}"/>
    <cellStyle name="Style 1222 4" xfId="1352" xr:uid="{00000000-0005-0000-0000-00008C0A0000}"/>
    <cellStyle name="Style 1222 4 2" xfId="3336" xr:uid="{00000000-0005-0000-0000-00008D0A0000}"/>
    <cellStyle name="Style 1222 5" xfId="1647" xr:uid="{00000000-0005-0000-0000-00008E0A0000}"/>
    <cellStyle name="Style 1222 5 2" xfId="3574" xr:uid="{00000000-0005-0000-0000-00008F0A0000}"/>
    <cellStyle name="Style 1222 6" xfId="1898" xr:uid="{00000000-0005-0000-0000-0000900A0000}"/>
    <cellStyle name="Style 1222 6 2" xfId="3808" xr:uid="{00000000-0005-0000-0000-0000910A0000}"/>
    <cellStyle name="Style 1222 7" xfId="2142" xr:uid="{00000000-0005-0000-0000-0000920A0000}"/>
    <cellStyle name="Style 1222 7 2" xfId="4043" xr:uid="{00000000-0005-0000-0000-0000930A0000}"/>
    <cellStyle name="Style 1222 8" xfId="2377" xr:uid="{00000000-0005-0000-0000-0000940A0000}"/>
    <cellStyle name="Style 1222 8 2" xfId="4278" xr:uid="{00000000-0005-0000-0000-0000950A0000}"/>
    <cellStyle name="Style 1222 9" xfId="2624" xr:uid="{00000000-0005-0000-0000-0000960A0000}"/>
    <cellStyle name="Style 1222 9 2" xfId="4513" xr:uid="{00000000-0005-0000-0000-0000970A0000}"/>
    <cellStyle name="Style 1223" xfId="172" xr:uid="{00000000-0005-0000-0000-0000980A0000}"/>
    <cellStyle name="Style 1223 10" xfId="2859" xr:uid="{00000000-0005-0000-0000-0000990A0000}"/>
    <cellStyle name="Style 1223 10 2" xfId="4748" xr:uid="{00000000-0005-0000-0000-00009A0A0000}"/>
    <cellStyle name="Style 1223 11" xfId="3096" xr:uid="{00000000-0005-0000-0000-00009B0A0000}"/>
    <cellStyle name="Style 1223 11 2" xfId="4982" xr:uid="{00000000-0005-0000-0000-00009C0A0000}"/>
    <cellStyle name="Style 1223 12" xfId="5218" xr:uid="{00000000-0005-0000-0000-00009D0A0000}"/>
    <cellStyle name="Style 1223 12 2" xfId="6678" xr:uid="{00000000-0005-0000-0000-00009D0A0000}"/>
    <cellStyle name="Style 1223 13" xfId="5669" xr:uid="{00000000-0005-0000-0000-00009E0A0000}"/>
    <cellStyle name="Style 1223 13 2" xfId="7089" xr:uid="{00000000-0005-0000-0000-00009E0A0000}"/>
    <cellStyle name="Style 1223 14" xfId="5801" xr:uid="{00000000-0005-0000-0000-00009F0A0000}"/>
    <cellStyle name="Style 1223 14 2" xfId="7221" xr:uid="{00000000-0005-0000-0000-00009F0A0000}"/>
    <cellStyle name="Style 1223 15" xfId="6292" xr:uid="{00000000-0005-0000-0000-0000A00A0000}"/>
    <cellStyle name="Style 1223 15 2" xfId="7570" xr:uid="{00000000-0005-0000-0000-0000A00A0000}"/>
    <cellStyle name="Style 1223 2" xfId="406" xr:uid="{00000000-0005-0000-0000-0000A10A0000}"/>
    <cellStyle name="Style 1223 2 2" xfId="879" xr:uid="{00000000-0005-0000-0000-0000A20A0000}"/>
    <cellStyle name="Style 1223 2 3" xfId="8363" xr:uid="{1829F683-A42B-4D2D-91F2-947994EF627D}"/>
    <cellStyle name="Style 1223 3" xfId="640" xr:uid="{00000000-0005-0000-0000-0000A30A0000}"/>
    <cellStyle name="Style 1223 3 2" xfId="1113" xr:uid="{00000000-0005-0000-0000-0000A40A0000}"/>
    <cellStyle name="Style 1223 3 3" xfId="8364" xr:uid="{8A3EEBC7-64D7-4BD0-83D6-0A2EC7F1CA3E}"/>
    <cellStyle name="Style 1223 4" xfId="1353" xr:uid="{00000000-0005-0000-0000-0000A50A0000}"/>
    <cellStyle name="Style 1223 4 2" xfId="3337" xr:uid="{00000000-0005-0000-0000-0000A60A0000}"/>
    <cellStyle name="Style 1223 5" xfId="1648" xr:uid="{00000000-0005-0000-0000-0000A70A0000}"/>
    <cellStyle name="Style 1223 5 2" xfId="3575" xr:uid="{00000000-0005-0000-0000-0000A80A0000}"/>
    <cellStyle name="Style 1223 6" xfId="1899" xr:uid="{00000000-0005-0000-0000-0000A90A0000}"/>
    <cellStyle name="Style 1223 6 2" xfId="3809" xr:uid="{00000000-0005-0000-0000-0000AA0A0000}"/>
    <cellStyle name="Style 1223 7" xfId="2143" xr:uid="{00000000-0005-0000-0000-0000AB0A0000}"/>
    <cellStyle name="Style 1223 7 2" xfId="4044" xr:uid="{00000000-0005-0000-0000-0000AC0A0000}"/>
    <cellStyle name="Style 1223 8" xfId="2378" xr:uid="{00000000-0005-0000-0000-0000AD0A0000}"/>
    <cellStyle name="Style 1223 8 2" xfId="4279" xr:uid="{00000000-0005-0000-0000-0000AE0A0000}"/>
    <cellStyle name="Style 1223 9" xfId="2625" xr:uid="{00000000-0005-0000-0000-0000AF0A0000}"/>
    <cellStyle name="Style 1223 9 2" xfId="4514" xr:uid="{00000000-0005-0000-0000-0000B00A0000}"/>
    <cellStyle name="Style 1295" xfId="8365" xr:uid="{40C83E2D-0479-4942-B3F0-E27BFA0DEA17}"/>
    <cellStyle name="Style 1298" xfId="5587" xr:uid="{00000000-0005-0000-0000-0000B10A0000}"/>
    <cellStyle name="Style 1298 2" xfId="6047" xr:uid="{00000000-0005-0000-0000-0000B20A0000}"/>
    <cellStyle name="Style 1298 2 2" xfId="7467" xr:uid="{00000000-0005-0000-0000-0000B20A0000}"/>
    <cellStyle name="Style 1298 3" xfId="7007" xr:uid="{00000000-0005-0000-0000-0000B10A0000}"/>
    <cellStyle name="Style 1299" xfId="173" xr:uid="{00000000-0005-0000-0000-0000B30A0000}"/>
    <cellStyle name="Style 1299 10" xfId="2860" xr:uid="{00000000-0005-0000-0000-0000B40A0000}"/>
    <cellStyle name="Style 1299 10 2" xfId="4749" xr:uid="{00000000-0005-0000-0000-0000B50A0000}"/>
    <cellStyle name="Style 1299 11" xfId="3097" xr:uid="{00000000-0005-0000-0000-0000B60A0000}"/>
    <cellStyle name="Style 1299 11 2" xfId="4983" xr:uid="{00000000-0005-0000-0000-0000B70A0000}"/>
    <cellStyle name="Style 1299 12" xfId="5219" xr:uid="{00000000-0005-0000-0000-0000B80A0000}"/>
    <cellStyle name="Style 1299 12 2" xfId="6679" xr:uid="{00000000-0005-0000-0000-0000B80A0000}"/>
    <cellStyle name="Style 1299 13" xfId="5459" xr:uid="{00000000-0005-0000-0000-0000B90A0000}"/>
    <cellStyle name="Style 1299 13 2" xfId="6883" xr:uid="{00000000-0005-0000-0000-0000B90A0000}"/>
    <cellStyle name="Style 1299 14" xfId="5670" xr:uid="{00000000-0005-0000-0000-0000BA0A0000}"/>
    <cellStyle name="Style 1299 14 2" xfId="7090" xr:uid="{00000000-0005-0000-0000-0000BA0A0000}"/>
    <cellStyle name="Style 1299 15" xfId="5802" xr:uid="{00000000-0005-0000-0000-0000BB0A0000}"/>
    <cellStyle name="Style 1299 15 2" xfId="7222" xr:uid="{00000000-0005-0000-0000-0000BB0A0000}"/>
    <cellStyle name="Style 1299 16" xfId="6022" xr:uid="{00000000-0005-0000-0000-0000BC0A0000}"/>
    <cellStyle name="Style 1299 16 2" xfId="7442" xr:uid="{00000000-0005-0000-0000-0000BC0A0000}"/>
    <cellStyle name="Style 1299 17" xfId="6293" xr:uid="{00000000-0005-0000-0000-0000BD0A0000}"/>
    <cellStyle name="Style 1299 17 2" xfId="7571" xr:uid="{00000000-0005-0000-0000-0000BD0A0000}"/>
    <cellStyle name="Style 1299 2" xfId="407" xr:uid="{00000000-0005-0000-0000-0000BE0A0000}"/>
    <cellStyle name="Style 1299 2 2" xfId="880" xr:uid="{00000000-0005-0000-0000-0000BF0A0000}"/>
    <cellStyle name="Style 1299 2 2 2" xfId="8367" xr:uid="{9DDB06B9-74A1-45E1-8EDC-9C466136E16D}"/>
    <cellStyle name="Style 1299 2 3" xfId="8366" xr:uid="{2FD6EA72-92DF-40A7-A31C-5247C889B676}"/>
    <cellStyle name="Style 1299 3" xfId="641" xr:uid="{00000000-0005-0000-0000-0000C00A0000}"/>
    <cellStyle name="Style 1299 3 2" xfId="1114" xr:uid="{00000000-0005-0000-0000-0000C10A0000}"/>
    <cellStyle name="Style 1299 3 3" xfId="8368" xr:uid="{F1F36A13-0DBA-48AC-A6F8-4B9794F36D11}"/>
    <cellStyle name="Style 1299 4" xfId="1354" xr:uid="{00000000-0005-0000-0000-0000C20A0000}"/>
    <cellStyle name="Style 1299 4 2" xfId="3338" xr:uid="{00000000-0005-0000-0000-0000C30A0000}"/>
    <cellStyle name="Style 1299 5" xfId="1649" xr:uid="{00000000-0005-0000-0000-0000C40A0000}"/>
    <cellStyle name="Style 1299 5 2" xfId="3576" xr:uid="{00000000-0005-0000-0000-0000C50A0000}"/>
    <cellStyle name="Style 1299 6" xfId="1900" xr:uid="{00000000-0005-0000-0000-0000C60A0000}"/>
    <cellStyle name="Style 1299 6 2" xfId="3810" xr:uid="{00000000-0005-0000-0000-0000C70A0000}"/>
    <cellStyle name="Style 1299 7" xfId="2144" xr:uid="{00000000-0005-0000-0000-0000C80A0000}"/>
    <cellStyle name="Style 1299 7 2" xfId="4045" xr:uid="{00000000-0005-0000-0000-0000C90A0000}"/>
    <cellStyle name="Style 1299 8" xfId="2379" xr:uid="{00000000-0005-0000-0000-0000CA0A0000}"/>
    <cellStyle name="Style 1299 8 2" xfId="4280" xr:uid="{00000000-0005-0000-0000-0000CB0A0000}"/>
    <cellStyle name="Style 1299 9" xfId="2626" xr:uid="{00000000-0005-0000-0000-0000CC0A0000}"/>
    <cellStyle name="Style 1299 9 2" xfId="4515" xr:uid="{00000000-0005-0000-0000-0000CD0A0000}"/>
    <cellStyle name="Style 1328" xfId="8369" xr:uid="{8EAE6E79-0B75-447A-8A4D-3743283DCB46}"/>
    <cellStyle name="Style 1331" xfId="174" xr:uid="{00000000-0005-0000-0000-0000CE0A0000}"/>
    <cellStyle name="Style 1331 10" xfId="2861" xr:uid="{00000000-0005-0000-0000-0000CF0A0000}"/>
    <cellStyle name="Style 1331 10 2" xfId="4750" xr:uid="{00000000-0005-0000-0000-0000D00A0000}"/>
    <cellStyle name="Style 1331 11" xfId="3098" xr:uid="{00000000-0005-0000-0000-0000D10A0000}"/>
    <cellStyle name="Style 1331 11 2" xfId="4984" xr:uid="{00000000-0005-0000-0000-0000D20A0000}"/>
    <cellStyle name="Style 1331 12" xfId="5220" xr:uid="{00000000-0005-0000-0000-0000D30A0000}"/>
    <cellStyle name="Style 1331 12 2" xfId="6680" xr:uid="{00000000-0005-0000-0000-0000D30A0000}"/>
    <cellStyle name="Style 1331 13" xfId="5460" xr:uid="{00000000-0005-0000-0000-0000D40A0000}"/>
    <cellStyle name="Style 1331 13 2" xfId="6884" xr:uid="{00000000-0005-0000-0000-0000D40A0000}"/>
    <cellStyle name="Style 1331 14" xfId="5803" xr:uid="{00000000-0005-0000-0000-0000D50A0000}"/>
    <cellStyle name="Style 1331 14 2" xfId="7223" xr:uid="{00000000-0005-0000-0000-0000D50A0000}"/>
    <cellStyle name="Style 1331 15" xfId="6294" xr:uid="{00000000-0005-0000-0000-0000D60A0000}"/>
    <cellStyle name="Style 1331 15 2" xfId="7572" xr:uid="{00000000-0005-0000-0000-0000D60A0000}"/>
    <cellStyle name="Style 1331 2" xfId="408" xr:uid="{00000000-0005-0000-0000-0000D70A0000}"/>
    <cellStyle name="Style 1331 2 2" xfId="881" xr:uid="{00000000-0005-0000-0000-0000D80A0000}"/>
    <cellStyle name="Style 1331 2 2 2" xfId="8371" xr:uid="{6E916834-774E-4C12-888E-0C8C4AB3C4EF}"/>
    <cellStyle name="Style 1331 2 3" xfId="8370" xr:uid="{F9BF5CC9-F3C8-4DE1-86B4-B38E9F9F4900}"/>
    <cellStyle name="Style 1331 3" xfId="642" xr:uid="{00000000-0005-0000-0000-0000D90A0000}"/>
    <cellStyle name="Style 1331 3 2" xfId="1115" xr:uid="{00000000-0005-0000-0000-0000DA0A0000}"/>
    <cellStyle name="Style 1331 3 3" xfId="8372" xr:uid="{8E64AD47-5E6F-4F0E-A928-F764FF4FF79C}"/>
    <cellStyle name="Style 1331 4" xfId="1355" xr:uid="{00000000-0005-0000-0000-0000DB0A0000}"/>
    <cellStyle name="Style 1331 4 2" xfId="3339" xr:uid="{00000000-0005-0000-0000-0000DC0A0000}"/>
    <cellStyle name="Style 1331 4 3" xfId="8373" xr:uid="{D4D9B93F-BEC8-408A-9D54-085AFFFE05F5}"/>
    <cellStyle name="Style 1331 5" xfId="1650" xr:uid="{00000000-0005-0000-0000-0000DD0A0000}"/>
    <cellStyle name="Style 1331 5 2" xfId="3577" xr:uid="{00000000-0005-0000-0000-0000DE0A0000}"/>
    <cellStyle name="Style 1331 6" xfId="1901" xr:uid="{00000000-0005-0000-0000-0000DF0A0000}"/>
    <cellStyle name="Style 1331 6 2" xfId="3811" xr:uid="{00000000-0005-0000-0000-0000E00A0000}"/>
    <cellStyle name="Style 1331 7" xfId="2145" xr:uid="{00000000-0005-0000-0000-0000E10A0000}"/>
    <cellStyle name="Style 1331 7 2" xfId="4046" xr:uid="{00000000-0005-0000-0000-0000E20A0000}"/>
    <cellStyle name="Style 1331 8" xfId="2380" xr:uid="{00000000-0005-0000-0000-0000E30A0000}"/>
    <cellStyle name="Style 1331 8 2" xfId="4281" xr:uid="{00000000-0005-0000-0000-0000E40A0000}"/>
    <cellStyle name="Style 1331 9" xfId="2627" xr:uid="{00000000-0005-0000-0000-0000E50A0000}"/>
    <cellStyle name="Style 1331 9 2" xfId="4516" xr:uid="{00000000-0005-0000-0000-0000E60A0000}"/>
    <cellStyle name="Style 1332" xfId="175" xr:uid="{00000000-0005-0000-0000-0000E70A0000}"/>
    <cellStyle name="Style 1332 10" xfId="2862" xr:uid="{00000000-0005-0000-0000-0000E80A0000}"/>
    <cellStyle name="Style 1332 10 2" xfId="4751" xr:uid="{00000000-0005-0000-0000-0000E90A0000}"/>
    <cellStyle name="Style 1332 11" xfId="3099" xr:uid="{00000000-0005-0000-0000-0000EA0A0000}"/>
    <cellStyle name="Style 1332 11 2" xfId="4985" xr:uid="{00000000-0005-0000-0000-0000EB0A0000}"/>
    <cellStyle name="Style 1332 12" xfId="5221" xr:uid="{00000000-0005-0000-0000-0000EC0A0000}"/>
    <cellStyle name="Style 1332 12 2" xfId="6681" xr:uid="{00000000-0005-0000-0000-0000EC0A0000}"/>
    <cellStyle name="Style 1332 13" xfId="5461" xr:uid="{00000000-0005-0000-0000-0000ED0A0000}"/>
    <cellStyle name="Style 1332 13 2" xfId="6885" xr:uid="{00000000-0005-0000-0000-0000ED0A0000}"/>
    <cellStyle name="Style 1332 14" xfId="5804" xr:uid="{00000000-0005-0000-0000-0000EE0A0000}"/>
    <cellStyle name="Style 1332 14 2" xfId="7224" xr:uid="{00000000-0005-0000-0000-0000EE0A0000}"/>
    <cellStyle name="Style 1332 15" xfId="6295" xr:uid="{00000000-0005-0000-0000-0000EF0A0000}"/>
    <cellStyle name="Style 1332 15 2" xfId="7573" xr:uid="{00000000-0005-0000-0000-0000EF0A0000}"/>
    <cellStyle name="Style 1332 2" xfId="409" xr:uid="{00000000-0005-0000-0000-0000F00A0000}"/>
    <cellStyle name="Style 1332 2 2" xfId="882" xr:uid="{00000000-0005-0000-0000-0000F10A0000}"/>
    <cellStyle name="Style 1332 2 2 2" xfId="8375" xr:uid="{BB680DAF-28F2-4613-B13A-0E2B143EF783}"/>
    <cellStyle name="Style 1332 2 3" xfId="8374" xr:uid="{8FF5F6C7-8FA0-44B0-BEF8-163280DB820E}"/>
    <cellStyle name="Style 1332 3" xfId="643" xr:uid="{00000000-0005-0000-0000-0000F20A0000}"/>
    <cellStyle name="Style 1332 3 2" xfId="1116" xr:uid="{00000000-0005-0000-0000-0000F30A0000}"/>
    <cellStyle name="Style 1332 3 3" xfId="8376" xr:uid="{5F57B3F6-EF19-427B-A1C0-B52794B3BA12}"/>
    <cellStyle name="Style 1332 4" xfId="1356" xr:uid="{00000000-0005-0000-0000-0000F40A0000}"/>
    <cellStyle name="Style 1332 4 2" xfId="3340" xr:uid="{00000000-0005-0000-0000-0000F50A0000}"/>
    <cellStyle name="Style 1332 4 3" xfId="8377" xr:uid="{7359BFB0-DCBA-4F48-BB2A-151BD7FDECFA}"/>
    <cellStyle name="Style 1332 5" xfId="1651" xr:uid="{00000000-0005-0000-0000-0000F60A0000}"/>
    <cellStyle name="Style 1332 5 2" xfId="3578" xr:uid="{00000000-0005-0000-0000-0000F70A0000}"/>
    <cellStyle name="Style 1332 6" xfId="1902" xr:uid="{00000000-0005-0000-0000-0000F80A0000}"/>
    <cellStyle name="Style 1332 6 2" xfId="3812" xr:uid="{00000000-0005-0000-0000-0000F90A0000}"/>
    <cellStyle name="Style 1332 7" xfId="2146" xr:uid="{00000000-0005-0000-0000-0000FA0A0000}"/>
    <cellStyle name="Style 1332 7 2" xfId="4047" xr:uid="{00000000-0005-0000-0000-0000FB0A0000}"/>
    <cellStyle name="Style 1332 8" xfId="2381" xr:uid="{00000000-0005-0000-0000-0000FC0A0000}"/>
    <cellStyle name="Style 1332 8 2" xfId="4282" xr:uid="{00000000-0005-0000-0000-0000FD0A0000}"/>
    <cellStyle name="Style 1332 9" xfId="2628" xr:uid="{00000000-0005-0000-0000-0000FE0A0000}"/>
    <cellStyle name="Style 1332 9 2" xfId="4517" xr:uid="{00000000-0005-0000-0000-0000FF0A0000}"/>
    <cellStyle name="Style 1333" xfId="176" xr:uid="{00000000-0005-0000-0000-0000000B0000}"/>
    <cellStyle name="Style 1333 10" xfId="2863" xr:uid="{00000000-0005-0000-0000-0000010B0000}"/>
    <cellStyle name="Style 1333 10 2" xfId="4752" xr:uid="{00000000-0005-0000-0000-0000020B0000}"/>
    <cellStyle name="Style 1333 11" xfId="3100" xr:uid="{00000000-0005-0000-0000-0000030B0000}"/>
    <cellStyle name="Style 1333 11 2" xfId="4986" xr:uid="{00000000-0005-0000-0000-0000040B0000}"/>
    <cellStyle name="Style 1333 12" xfId="5222" xr:uid="{00000000-0005-0000-0000-0000050B0000}"/>
    <cellStyle name="Style 1333 12 2" xfId="6682" xr:uid="{00000000-0005-0000-0000-0000050B0000}"/>
    <cellStyle name="Style 1333 13" xfId="5462" xr:uid="{00000000-0005-0000-0000-0000060B0000}"/>
    <cellStyle name="Style 1333 13 2" xfId="6886" xr:uid="{00000000-0005-0000-0000-0000060B0000}"/>
    <cellStyle name="Style 1333 14" xfId="5805" xr:uid="{00000000-0005-0000-0000-0000070B0000}"/>
    <cellStyle name="Style 1333 14 2" xfId="7225" xr:uid="{00000000-0005-0000-0000-0000070B0000}"/>
    <cellStyle name="Style 1333 15" xfId="6296" xr:uid="{00000000-0005-0000-0000-0000080B0000}"/>
    <cellStyle name="Style 1333 15 2" xfId="7574" xr:uid="{00000000-0005-0000-0000-0000080B0000}"/>
    <cellStyle name="Style 1333 2" xfId="410" xr:uid="{00000000-0005-0000-0000-0000090B0000}"/>
    <cellStyle name="Style 1333 2 2" xfId="883" xr:uid="{00000000-0005-0000-0000-00000A0B0000}"/>
    <cellStyle name="Style 1333 2 2 2" xfId="8379" xr:uid="{6A37B168-AB4D-42F6-9150-4585948DD661}"/>
    <cellStyle name="Style 1333 2 3" xfId="8378" xr:uid="{E261FC44-ABC6-496A-8E8C-9CB9549E5581}"/>
    <cellStyle name="Style 1333 3" xfId="644" xr:uid="{00000000-0005-0000-0000-00000B0B0000}"/>
    <cellStyle name="Style 1333 3 2" xfId="1117" xr:uid="{00000000-0005-0000-0000-00000C0B0000}"/>
    <cellStyle name="Style 1333 3 3" xfId="8380" xr:uid="{F9699295-D491-4CB7-8D98-04A1ACAF6969}"/>
    <cellStyle name="Style 1333 4" xfId="1357" xr:uid="{00000000-0005-0000-0000-00000D0B0000}"/>
    <cellStyle name="Style 1333 4 2" xfId="3341" xr:uid="{00000000-0005-0000-0000-00000E0B0000}"/>
    <cellStyle name="Style 1333 4 3" xfId="8381" xr:uid="{B4F43E93-0BE6-44FB-BEE8-88F21D5B0EC1}"/>
    <cellStyle name="Style 1333 5" xfId="1652" xr:uid="{00000000-0005-0000-0000-00000F0B0000}"/>
    <cellStyle name="Style 1333 5 2" xfId="3579" xr:uid="{00000000-0005-0000-0000-0000100B0000}"/>
    <cellStyle name="Style 1333 6" xfId="1903" xr:uid="{00000000-0005-0000-0000-0000110B0000}"/>
    <cellStyle name="Style 1333 6 2" xfId="3813" xr:uid="{00000000-0005-0000-0000-0000120B0000}"/>
    <cellStyle name="Style 1333 7" xfId="2147" xr:uid="{00000000-0005-0000-0000-0000130B0000}"/>
    <cellStyle name="Style 1333 7 2" xfId="4048" xr:uid="{00000000-0005-0000-0000-0000140B0000}"/>
    <cellStyle name="Style 1333 8" xfId="2382" xr:uid="{00000000-0005-0000-0000-0000150B0000}"/>
    <cellStyle name="Style 1333 8 2" xfId="4283" xr:uid="{00000000-0005-0000-0000-0000160B0000}"/>
    <cellStyle name="Style 1333 9" xfId="2629" xr:uid="{00000000-0005-0000-0000-0000170B0000}"/>
    <cellStyle name="Style 1333 9 2" xfId="4518" xr:uid="{00000000-0005-0000-0000-0000180B0000}"/>
    <cellStyle name="Style 1334" xfId="177" xr:uid="{00000000-0005-0000-0000-0000190B0000}"/>
    <cellStyle name="Style 1334 10" xfId="2864" xr:uid="{00000000-0005-0000-0000-00001A0B0000}"/>
    <cellStyle name="Style 1334 10 2" xfId="4753" xr:uid="{00000000-0005-0000-0000-00001B0B0000}"/>
    <cellStyle name="Style 1334 11" xfId="3101" xr:uid="{00000000-0005-0000-0000-00001C0B0000}"/>
    <cellStyle name="Style 1334 11 2" xfId="4987" xr:uid="{00000000-0005-0000-0000-00001D0B0000}"/>
    <cellStyle name="Style 1334 12" xfId="5223" xr:uid="{00000000-0005-0000-0000-00001E0B0000}"/>
    <cellStyle name="Style 1334 12 2" xfId="6683" xr:uid="{00000000-0005-0000-0000-00001E0B0000}"/>
    <cellStyle name="Style 1334 13" xfId="5463" xr:uid="{00000000-0005-0000-0000-00001F0B0000}"/>
    <cellStyle name="Style 1334 13 2" xfId="6887" xr:uid="{00000000-0005-0000-0000-00001F0B0000}"/>
    <cellStyle name="Style 1334 14" xfId="5806" xr:uid="{00000000-0005-0000-0000-0000200B0000}"/>
    <cellStyle name="Style 1334 14 2" xfId="7226" xr:uid="{00000000-0005-0000-0000-0000200B0000}"/>
    <cellStyle name="Style 1334 15" xfId="6297" xr:uid="{00000000-0005-0000-0000-0000210B0000}"/>
    <cellStyle name="Style 1334 15 2" xfId="7575" xr:uid="{00000000-0005-0000-0000-0000210B0000}"/>
    <cellStyle name="Style 1334 2" xfId="411" xr:uid="{00000000-0005-0000-0000-0000220B0000}"/>
    <cellStyle name="Style 1334 2 2" xfId="884" xr:uid="{00000000-0005-0000-0000-0000230B0000}"/>
    <cellStyle name="Style 1334 2 2 2" xfId="8383" xr:uid="{2767A8C2-F6AF-4B0C-881F-AF3C9BD9A1A8}"/>
    <cellStyle name="Style 1334 2 3" xfId="8382" xr:uid="{37221077-CA15-4F87-B895-DE1C3FAEFA1D}"/>
    <cellStyle name="Style 1334 3" xfId="645" xr:uid="{00000000-0005-0000-0000-0000240B0000}"/>
    <cellStyle name="Style 1334 3 2" xfId="1118" xr:uid="{00000000-0005-0000-0000-0000250B0000}"/>
    <cellStyle name="Style 1334 3 3" xfId="8384" xr:uid="{7F85FA9A-C707-455C-9C98-7BA5B96B2CB3}"/>
    <cellStyle name="Style 1334 4" xfId="1358" xr:uid="{00000000-0005-0000-0000-0000260B0000}"/>
    <cellStyle name="Style 1334 4 2" xfId="3342" xr:uid="{00000000-0005-0000-0000-0000270B0000}"/>
    <cellStyle name="Style 1334 4 3" xfId="8385" xr:uid="{55BBC335-CA20-4D6F-872C-7F5F72F8A263}"/>
    <cellStyle name="Style 1334 5" xfId="1653" xr:uid="{00000000-0005-0000-0000-0000280B0000}"/>
    <cellStyle name="Style 1334 5 2" xfId="3580" xr:uid="{00000000-0005-0000-0000-0000290B0000}"/>
    <cellStyle name="Style 1334 6" xfId="1904" xr:uid="{00000000-0005-0000-0000-00002A0B0000}"/>
    <cellStyle name="Style 1334 6 2" xfId="3814" xr:uid="{00000000-0005-0000-0000-00002B0B0000}"/>
    <cellStyle name="Style 1334 7" xfId="2148" xr:uid="{00000000-0005-0000-0000-00002C0B0000}"/>
    <cellStyle name="Style 1334 7 2" xfId="4049" xr:uid="{00000000-0005-0000-0000-00002D0B0000}"/>
    <cellStyle name="Style 1334 8" xfId="2383" xr:uid="{00000000-0005-0000-0000-00002E0B0000}"/>
    <cellStyle name="Style 1334 8 2" xfId="4284" xr:uid="{00000000-0005-0000-0000-00002F0B0000}"/>
    <cellStyle name="Style 1334 9" xfId="2630" xr:uid="{00000000-0005-0000-0000-0000300B0000}"/>
    <cellStyle name="Style 1334 9 2" xfId="4519" xr:uid="{00000000-0005-0000-0000-0000310B0000}"/>
    <cellStyle name="Style 1335" xfId="178" xr:uid="{00000000-0005-0000-0000-0000320B0000}"/>
    <cellStyle name="Style 1335 10" xfId="2865" xr:uid="{00000000-0005-0000-0000-0000330B0000}"/>
    <cellStyle name="Style 1335 10 2" xfId="4754" xr:uid="{00000000-0005-0000-0000-0000340B0000}"/>
    <cellStyle name="Style 1335 11" xfId="3102" xr:uid="{00000000-0005-0000-0000-0000350B0000}"/>
    <cellStyle name="Style 1335 11 2" xfId="4988" xr:uid="{00000000-0005-0000-0000-0000360B0000}"/>
    <cellStyle name="Style 1335 12" xfId="5224" xr:uid="{00000000-0005-0000-0000-0000370B0000}"/>
    <cellStyle name="Style 1335 12 2" xfId="6684" xr:uid="{00000000-0005-0000-0000-0000370B0000}"/>
    <cellStyle name="Style 1335 13" xfId="5464" xr:uid="{00000000-0005-0000-0000-0000380B0000}"/>
    <cellStyle name="Style 1335 13 2" xfId="6888" xr:uid="{00000000-0005-0000-0000-0000380B0000}"/>
    <cellStyle name="Style 1335 14" xfId="5807" xr:uid="{00000000-0005-0000-0000-0000390B0000}"/>
    <cellStyle name="Style 1335 14 2" xfId="7227" xr:uid="{00000000-0005-0000-0000-0000390B0000}"/>
    <cellStyle name="Style 1335 15" xfId="6298" xr:uid="{00000000-0005-0000-0000-00003A0B0000}"/>
    <cellStyle name="Style 1335 15 2" xfId="7576" xr:uid="{00000000-0005-0000-0000-00003A0B0000}"/>
    <cellStyle name="Style 1335 2" xfId="412" xr:uid="{00000000-0005-0000-0000-00003B0B0000}"/>
    <cellStyle name="Style 1335 2 2" xfId="885" xr:uid="{00000000-0005-0000-0000-00003C0B0000}"/>
    <cellStyle name="Style 1335 2 2 2" xfId="8387" xr:uid="{534F891D-6C79-4828-A6C7-321F56580D96}"/>
    <cellStyle name="Style 1335 2 3" xfId="8386" xr:uid="{463554AD-8057-4784-840D-C1C30E80F978}"/>
    <cellStyle name="Style 1335 3" xfId="646" xr:uid="{00000000-0005-0000-0000-00003D0B0000}"/>
    <cellStyle name="Style 1335 3 2" xfId="1119" xr:uid="{00000000-0005-0000-0000-00003E0B0000}"/>
    <cellStyle name="Style 1335 3 3" xfId="8388" xr:uid="{A741EFD8-1E57-48EE-907D-7B2B78D6B044}"/>
    <cellStyle name="Style 1335 4" xfId="1359" xr:uid="{00000000-0005-0000-0000-00003F0B0000}"/>
    <cellStyle name="Style 1335 4 2" xfId="3343" xr:uid="{00000000-0005-0000-0000-0000400B0000}"/>
    <cellStyle name="Style 1335 4 3" xfId="8389" xr:uid="{C54800A1-D7EF-4551-A274-3DABBBD4B58A}"/>
    <cellStyle name="Style 1335 5" xfId="1654" xr:uid="{00000000-0005-0000-0000-0000410B0000}"/>
    <cellStyle name="Style 1335 5 2" xfId="3581" xr:uid="{00000000-0005-0000-0000-0000420B0000}"/>
    <cellStyle name="Style 1335 6" xfId="1905" xr:uid="{00000000-0005-0000-0000-0000430B0000}"/>
    <cellStyle name="Style 1335 6 2" xfId="3815" xr:uid="{00000000-0005-0000-0000-0000440B0000}"/>
    <cellStyle name="Style 1335 7" xfId="2149" xr:uid="{00000000-0005-0000-0000-0000450B0000}"/>
    <cellStyle name="Style 1335 7 2" xfId="4050" xr:uid="{00000000-0005-0000-0000-0000460B0000}"/>
    <cellStyle name="Style 1335 8" xfId="2384" xr:uid="{00000000-0005-0000-0000-0000470B0000}"/>
    <cellStyle name="Style 1335 8 2" xfId="4285" xr:uid="{00000000-0005-0000-0000-0000480B0000}"/>
    <cellStyle name="Style 1335 9" xfId="2631" xr:uid="{00000000-0005-0000-0000-0000490B0000}"/>
    <cellStyle name="Style 1335 9 2" xfId="4520" xr:uid="{00000000-0005-0000-0000-00004A0B0000}"/>
    <cellStyle name="Style 1336" xfId="179" xr:uid="{00000000-0005-0000-0000-00004B0B0000}"/>
    <cellStyle name="Style 1336 10" xfId="2866" xr:uid="{00000000-0005-0000-0000-00004C0B0000}"/>
    <cellStyle name="Style 1336 10 2" xfId="4755" xr:uid="{00000000-0005-0000-0000-00004D0B0000}"/>
    <cellStyle name="Style 1336 11" xfId="3103" xr:uid="{00000000-0005-0000-0000-00004E0B0000}"/>
    <cellStyle name="Style 1336 11 2" xfId="4989" xr:uid="{00000000-0005-0000-0000-00004F0B0000}"/>
    <cellStyle name="Style 1336 12" xfId="5225" xr:uid="{00000000-0005-0000-0000-0000500B0000}"/>
    <cellStyle name="Style 1336 12 2" xfId="6685" xr:uid="{00000000-0005-0000-0000-0000500B0000}"/>
    <cellStyle name="Style 1336 13" xfId="5465" xr:uid="{00000000-0005-0000-0000-0000510B0000}"/>
    <cellStyle name="Style 1336 13 2" xfId="6889" xr:uid="{00000000-0005-0000-0000-0000510B0000}"/>
    <cellStyle name="Style 1336 14" xfId="5808" xr:uid="{00000000-0005-0000-0000-0000520B0000}"/>
    <cellStyle name="Style 1336 14 2" xfId="7228" xr:uid="{00000000-0005-0000-0000-0000520B0000}"/>
    <cellStyle name="Style 1336 15" xfId="6299" xr:uid="{00000000-0005-0000-0000-0000530B0000}"/>
    <cellStyle name="Style 1336 15 2" xfId="7577" xr:uid="{00000000-0005-0000-0000-0000530B0000}"/>
    <cellStyle name="Style 1336 2" xfId="413" xr:uid="{00000000-0005-0000-0000-0000540B0000}"/>
    <cellStyle name="Style 1336 2 2" xfId="886" xr:uid="{00000000-0005-0000-0000-0000550B0000}"/>
    <cellStyle name="Style 1336 2 2 2" xfId="8391" xr:uid="{F110F475-5C49-4E75-8226-B370029DF922}"/>
    <cellStyle name="Style 1336 2 3" xfId="8390" xr:uid="{F89B0542-94AD-4ACE-AD5A-BC699F33E366}"/>
    <cellStyle name="Style 1336 3" xfId="647" xr:uid="{00000000-0005-0000-0000-0000560B0000}"/>
    <cellStyle name="Style 1336 3 2" xfId="1120" xr:uid="{00000000-0005-0000-0000-0000570B0000}"/>
    <cellStyle name="Style 1336 3 3" xfId="8392" xr:uid="{85F95B09-4B80-428B-80DF-DCF8710233E5}"/>
    <cellStyle name="Style 1336 4" xfId="1360" xr:uid="{00000000-0005-0000-0000-0000580B0000}"/>
    <cellStyle name="Style 1336 4 2" xfId="3344" xr:uid="{00000000-0005-0000-0000-0000590B0000}"/>
    <cellStyle name="Style 1336 4 3" xfId="8393" xr:uid="{E2401368-1DD4-4164-BFDF-A6CD2113AAFE}"/>
    <cellStyle name="Style 1336 5" xfId="1655" xr:uid="{00000000-0005-0000-0000-00005A0B0000}"/>
    <cellStyle name="Style 1336 5 2" xfId="3582" xr:uid="{00000000-0005-0000-0000-00005B0B0000}"/>
    <cellStyle name="Style 1336 6" xfId="1906" xr:uid="{00000000-0005-0000-0000-00005C0B0000}"/>
    <cellStyle name="Style 1336 6 2" xfId="3816" xr:uid="{00000000-0005-0000-0000-00005D0B0000}"/>
    <cellStyle name="Style 1336 7" xfId="2150" xr:uid="{00000000-0005-0000-0000-00005E0B0000}"/>
    <cellStyle name="Style 1336 7 2" xfId="4051" xr:uid="{00000000-0005-0000-0000-00005F0B0000}"/>
    <cellStyle name="Style 1336 8" xfId="2385" xr:uid="{00000000-0005-0000-0000-0000600B0000}"/>
    <cellStyle name="Style 1336 8 2" xfId="4286" xr:uid="{00000000-0005-0000-0000-0000610B0000}"/>
    <cellStyle name="Style 1336 9" xfId="2632" xr:uid="{00000000-0005-0000-0000-0000620B0000}"/>
    <cellStyle name="Style 1336 9 2" xfId="4521" xr:uid="{00000000-0005-0000-0000-0000630B0000}"/>
    <cellStyle name="Style 1337" xfId="180" xr:uid="{00000000-0005-0000-0000-0000640B0000}"/>
    <cellStyle name="Style 1337 10" xfId="2867" xr:uid="{00000000-0005-0000-0000-0000650B0000}"/>
    <cellStyle name="Style 1337 10 2" xfId="4756" xr:uid="{00000000-0005-0000-0000-0000660B0000}"/>
    <cellStyle name="Style 1337 11" xfId="3104" xr:uid="{00000000-0005-0000-0000-0000670B0000}"/>
    <cellStyle name="Style 1337 11 2" xfId="4990" xr:uid="{00000000-0005-0000-0000-0000680B0000}"/>
    <cellStyle name="Style 1337 12" xfId="5226" xr:uid="{00000000-0005-0000-0000-0000690B0000}"/>
    <cellStyle name="Style 1337 12 2" xfId="6686" xr:uid="{00000000-0005-0000-0000-0000690B0000}"/>
    <cellStyle name="Style 1337 13" xfId="5466" xr:uid="{00000000-0005-0000-0000-00006A0B0000}"/>
    <cellStyle name="Style 1337 13 2" xfId="6890" xr:uid="{00000000-0005-0000-0000-00006A0B0000}"/>
    <cellStyle name="Style 1337 14" xfId="5809" xr:uid="{00000000-0005-0000-0000-00006B0B0000}"/>
    <cellStyle name="Style 1337 14 2" xfId="7229" xr:uid="{00000000-0005-0000-0000-00006B0B0000}"/>
    <cellStyle name="Style 1337 15" xfId="6300" xr:uid="{00000000-0005-0000-0000-00006C0B0000}"/>
    <cellStyle name="Style 1337 15 2" xfId="7578" xr:uid="{00000000-0005-0000-0000-00006C0B0000}"/>
    <cellStyle name="Style 1337 2" xfId="414" xr:uid="{00000000-0005-0000-0000-00006D0B0000}"/>
    <cellStyle name="Style 1337 2 2" xfId="887" xr:uid="{00000000-0005-0000-0000-00006E0B0000}"/>
    <cellStyle name="Style 1337 2 2 2" xfId="8395" xr:uid="{0A74570D-E7B5-4BB0-A2DA-79C3D6A2ABE2}"/>
    <cellStyle name="Style 1337 2 3" xfId="8394" xr:uid="{A5877B98-17E8-47F6-8668-9C969CCD22D0}"/>
    <cellStyle name="Style 1337 3" xfId="648" xr:uid="{00000000-0005-0000-0000-00006F0B0000}"/>
    <cellStyle name="Style 1337 3 2" xfId="1121" xr:uid="{00000000-0005-0000-0000-0000700B0000}"/>
    <cellStyle name="Style 1337 3 3" xfId="8396" xr:uid="{BBC35A84-B283-4403-AAC2-04612E912291}"/>
    <cellStyle name="Style 1337 4" xfId="1361" xr:uid="{00000000-0005-0000-0000-0000710B0000}"/>
    <cellStyle name="Style 1337 4 2" xfId="3345" xr:uid="{00000000-0005-0000-0000-0000720B0000}"/>
    <cellStyle name="Style 1337 4 3" xfId="8397" xr:uid="{59446060-DA6B-4CEC-BE3E-C84E6E84302F}"/>
    <cellStyle name="Style 1337 5" xfId="1656" xr:uid="{00000000-0005-0000-0000-0000730B0000}"/>
    <cellStyle name="Style 1337 5 2" xfId="3583" xr:uid="{00000000-0005-0000-0000-0000740B0000}"/>
    <cellStyle name="Style 1337 6" xfId="1907" xr:uid="{00000000-0005-0000-0000-0000750B0000}"/>
    <cellStyle name="Style 1337 6 2" xfId="3817" xr:uid="{00000000-0005-0000-0000-0000760B0000}"/>
    <cellStyle name="Style 1337 7" xfId="2151" xr:uid="{00000000-0005-0000-0000-0000770B0000}"/>
    <cellStyle name="Style 1337 7 2" xfId="4052" xr:uid="{00000000-0005-0000-0000-0000780B0000}"/>
    <cellStyle name="Style 1337 8" xfId="2386" xr:uid="{00000000-0005-0000-0000-0000790B0000}"/>
    <cellStyle name="Style 1337 8 2" xfId="4287" xr:uid="{00000000-0005-0000-0000-00007A0B0000}"/>
    <cellStyle name="Style 1337 9" xfId="2633" xr:uid="{00000000-0005-0000-0000-00007B0B0000}"/>
    <cellStyle name="Style 1337 9 2" xfId="4522" xr:uid="{00000000-0005-0000-0000-00007C0B0000}"/>
    <cellStyle name="Style 1338" xfId="181" xr:uid="{00000000-0005-0000-0000-00007D0B0000}"/>
    <cellStyle name="Style 1338 10" xfId="2868" xr:uid="{00000000-0005-0000-0000-00007E0B0000}"/>
    <cellStyle name="Style 1338 10 2" xfId="4757" xr:uid="{00000000-0005-0000-0000-00007F0B0000}"/>
    <cellStyle name="Style 1338 11" xfId="3105" xr:uid="{00000000-0005-0000-0000-0000800B0000}"/>
    <cellStyle name="Style 1338 11 2" xfId="4991" xr:uid="{00000000-0005-0000-0000-0000810B0000}"/>
    <cellStyle name="Style 1338 12" xfId="5227" xr:uid="{00000000-0005-0000-0000-0000820B0000}"/>
    <cellStyle name="Style 1338 12 2" xfId="6687" xr:uid="{00000000-0005-0000-0000-0000820B0000}"/>
    <cellStyle name="Style 1338 13" xfId="5467" xr:uid="{00000000-0005-0000-0000-0000830B0000}"/>
    <cellStyle name="Style 1338 13 2" xfId="6891" xr:uid="{00000000-0005-0000-0000-0000830B0000}"/>
    <cellStyle name="Style 1338 14" xfId="5810" xr:uid="{00000000-0005-0000-0000-0000840B0000}"/>
    <cellStyle name="Style 1338 14 2" xfId="7230" xr:uid="{00000000-0005-0000-0000-0000840B0000}"/>
    <cellStyle name="Style 1338 15" xfId="6301" xr:uid="{00000000-0005-0000-0000-0000850B0000}"/>
    <cellStyle name="Style 1338 15 2" xfId="7579" xr:uid="{00000000-0005-0000-0000-0000850B0000}"/>
    <cellStyle name="Style 1338 2" xfId="415" xr:uid="{00000000-0005-0000-0000-0000860B0000}"/>
    <cellStyle name="Style 1338 2 2" xfId="888" xr:uid="{00000000-0005-0000-0000-0000870B0000}"/>
    <cellStyle name="Style 1338 2 2 2" xfId="8399" xr:uid="{A611071C-DB13-406A-8DB6-B1EB464550AB}"/>
    <cellStyle name="Style 1338 2 3" xfId="8398" xr:uid="{3E1CC903-5855-4DCE-8257-17F5DBF2373F}"/>
    <cellStyle name="Style 1338 3" xfId="649" xr:uid="{00000000-0005-0000-0000-0000880B0000}"/>
    <cellStyle name="Style 1338 3 2" xfId="1122" xr:uid="{00000000-0005-0000-0000-0000890B0000}"/>
    <cellStyle name="Style 1338 3 3" xfId="8400" xr:uid="{5B95CAC6-361C-4275-8FEB-C5626996C556}"/>
    <cellStyle name="Style 1338 4" xfId="1362" xr:uid="{00000000-0005-0000-0000-00008A0B0000}"/>
    <cellStyle name="Style 1338 4 2" xfId="3346" xr:uid="{00000000-0005-0000-0000-00008B0B0000}"/>
    <cellStyle name="Style 1338 4 3" xfId="8401" xr:uid="{0021C38B-CF1C-4024-A769-96488B204DBE}"/>
    <cellStyle name="Style 1338 5" xfId="1657" xr:uid="{00000000-0005-0000-0000-00008C0B0000}"/>
    <cellStyle name="Style 1338 5 2" xfId="3584" xr:uid="{00000000-0005-0000-0000-00008D0B0000}"/>
    <cellStyle name="Style 1338 6" xfId="1908" xr:uid="{00000000-0005-0000-0000-00008E0B0000}"/>
    <cellStyle name="Style 1338 6 2" xfId="3818" xr:uid="{00000000-0005-0000-0000-00008F0B0000}"/>
    <cellStyle name="Style 1338 7" xfId="2152" xr:uid="{00000000-0005-0000-0000-0000900B0000}"/>
    <cellStyle name="Style 1338 7 2" xfId="4053" xr:uid="{00000000-0005-0000-0000-0000910B0000}"/>
    <cellStyle name="Style 1338 8" xfId="2387" xr:uid="{00000000-0005-0000-0000-0000920B0000}"/>
    <cellStyle name="Style 1338 8 2" xfId="4288" xr:uid="{00000000-0005-0000-0000-0000930B0000}"/>
    <cellStyle name="Style 1338 9" xfId="2634" xr:uid="{00000000-0005-0000-0000-0000940B0000}"/>
    <cellStyle name="Style 1338 9 2" xfId="4523" xr:uid="{00000000-0005-0000-0000-0000950B0000}"/>
    <cellStyle name="Style 1339" xfId="182" xr:uid="{00000000-0005-0000-0000-0000960B0000}"/>
    <cellStyle name="Style 1339 10" xfId="2869" xr:uid="{00000000-0005-0000-0000-0000970B0000}"/>
    <cellStyle name="Style 1339 10 2" xfId="4758" xr:uid="{00000000-0005-0000-0000-0000980B0000}"/>
    <cellStyle name="Style 1339 11" xfId="3106" xr:uid="{00000000-0005-0000-0000-0000990B0000}"/>
    <cellStyle name="Style 1339 11 2" xfId="4992" xr:uid="{00000000-0005-0000-0000-00009A0B0000}"/>
    <cellStyle name="Style 1339 12" xfId="5228" xr:uid="{00000000-0005-0000-0000-00009B0B0000}"/>
    <cellStyle name="Style 1339 12 2" xfId="6688" xr:uid="{00000000-0005-0000-0000-00009B0B0000}"/>
    <cellStyle name="Style 1339 13" xfId="5468" xr:uid="{00000000-0005-0000-0000-00009C0B0000}"/>
    <cellStyle name="Style 1339 13 2" xfId="6892" xr:uid="{00000000-0005-0000-0000-00009C0B0000}"/>
    <cellStyle name="Style 1339 14" xfId="5811" xr:uid="{00000000-0005-0000-0000-00009D0B0000}"/>
    <cellStyle name="Style 1339 14 2" xfId="7231" xr:uid="{00000000-0005-0000-0000-00009D0B0000}"/>
    <cellStyle name="Style 1339 15" xfId="6302" xr:uid="{00000000-0005-0000-0000-00009E0B0000}"/>
    <cellStyle name="Style 1339 15 2" xfId="7580" xr:uid="{00000000-0005-0000-0000-00009E0B0000}"/>
    <cellStyle name="Style 1339 2" xfId="416" xr:uid="{00000000-0005-0000-0000-00009F0B0000}"/>
    <cellStyle name="Style 1339 2 2" xfId="889" xr:uid="{00000000-0005-0000-0000-0000A00B0000}"/>
    <cellStyle name="Style 1339 2 2 2" xfId="8403" xr:uid="{163E902F-8627-4552-9E0C-FF5EE476D533}"/>
    <cellStyle name="Style 1339 2 3" xfId="8402" xr:uid="{1D75D233-C2BA-4A87-A1DB-B0D0DCDBE126}"/>
    <cellStyle name="Style 1339 3" xfId="650" xr:uid="{00000000-0005-0000-0000-0000A10B0000}"/>
    <cellStyle name="Style 1339 3 2" xfId="1123" xr:uid="{00000000-0005-0000-0000-0000A20B0000}"/>
    <cellStyle name="Style 1339 3 3" xfId="8404" xr:uid="{55B66D8E-BD06-4E88-86FB-2D5FB0F60980}"/>
    <cellStyle name="Style 1339 4" xfId="1363" xr:uid="{00000000-0005-0000-0000-0000A30B0000}"/>
    <cellStyle name="Style 1339 4 2" xfId="3347" xr:uid="{00000000-0005-0000-0000-0000A40B0000}"/>
    <cellStyle name="Style 1339 4 3" xfId="8405" xr:uid="{A235BACB-A25C-4EB8-B13B-7CD0616153C9}"/>
    <cellStyle name="Style 1339 5" xfId="1658" xr:uid="{00000000-0005-0000-0000-0000A50B0000}"/>
    <cellStyle name="Style 1339 5 2" xfId="3585" xr:uid="{00000000-0005-0000-0000-0000A60B0000}"/>
    <cellStyle name="Style 1339 6" xfId="1909" xr:uid="{00000000-0005-0000-0000-0000A70B0000}"/>
    <cellStyle name="Style 1339 6 2" xfId="3819" xr:uid="{00000000-0005-0000-0000-0000A80B0000}"/>
    <cellStyle name="Style 1339 7" xfId="2153" xr:uid="{00000000-0005-0000-0000-0000A90B0000}"/>
    <cellStyle name="Style 1339 7 2" xfId="4054" xr:uid="{00000000-0005-0000-0000-0000AA0B0000}"/>
    <cellStyle name="Style 1339 8" xfId="2388" xr:uid="{00000000-0005-0000-0000-0000AB0B0000}"/>
    <cellStyle name="Style 1339 8 2" xfId="4289" xr:uid="{00000000-0005-0000-0000-0000AC0B0000}"/>
    <cellStyle name="Style 1339 9" xfId="2635" xr:uid="{00000000-0005-0000-0000-0000AD0B0000}"/>
    <cellStyle name="Style 1339 9 2" xfId="4524" xr:uid="{00000000-0005-0000-0000-0000AE0B0000}"/>
    <cellStyle name="Style 1360" xfId="8406" xr:uid="{054ACC1B-FC28-478E-B074-80A3DE0C41CB}"/>
    <cellStyle name="Style 1361" xfId="8407" xr:uid="{1948270A-0752-4DD4-88B6-ACE4AA9835EE}"/>
    <cellStyle name="Style 1362" xfId="8408" xr:uid="{49688BF3-9C0E-4538-B1A4-7B28D2098EBC}"/>
    <cellStyle name="Style 1363" xfId="5588" xr:uid="{00000000-0005-0000-0000-0000AF0B0000}"/>
    <cellStyle name="Style 1363 2" xfId="6048" xr:uid="{00000000-0005-0000-0000-0000B00B0000}"/>
    <cellStyle name="Style 1363 2 2" xfId="7468" xr:uid="{00000000-0005-0000-0000-0000B00B0000}"/>
    <cellStyle name="Style 1363 3" xfId="7008" xr:uid="{00000000-0005-0000-0000-0000AF0B0000}"/>
    <cellStyle name="Style 1363 4" xfId="8409" xr:uid="{4C057A3E-3C1B-457D-B697-88F3C04A8141}"/>
    <cellStyle name="Style 1364" xfId="5589" xr:uid="{00000000-0005-0000-0000-0000B10B0000}"/>
    <cellStyle name="Style 1364 2" xfId="6049" xr:uid="{00000000-0005-0000-0000-0000B20B0000}"/>
    <cellStyle name="Style 1364 2 2" xfId="7469" xr:uid="{00000000-0005-0000-0000-0000B20B0000}"/>
    <cellStyle name="Style 1364 3" xfId="7009" xr:uid="{00000000-0005-0000-0000-0000B10B0000}"/>
    <cellStyle name="Style 1364 4" xfId="8410" xr:uid="{0159B5ED-2225-4F30-937C-A2FB07F6B813}"/>
    <cellStyle name="Style 1365" xfId="5590" xr:uid="{00000000-0005-0000-0000-0000B30B0000}"/>
    <cellStyle name="Style 1365 2" xfId="6050" xr:uid="{00000000-0005-0000-0000-0000B40B0000}"/>
    <cellStyle name="Style 1365 2 2" xfId="7470" xr:uid="{00000000-0005-0000-0000-0000B40B0000}"/>
    <cellStyle name="Style 1365 3" xfId="7010" xr:uid="{00000000-0005-0000-0000-0000B30B0000}"/>
    <cellStyle name="Style 1365 4" xfId="8411" xr:uid="{6BAE691F-CBAF-4404-BAD0-E11C92D4A956}"/>
    <cellStyle name="Style 1366" xfId="5591" xr:uid="{00000000-0005-0000-0000-0000B50B0000}"/>
    <cellStyle name="Style 1366 2" xfId="6051" xr:uid="{00000000-0005-0000-0000-0000B60B0000}"/>
    <cellStyle name="Style 1366 2 2" xfId="7471" xr:uid="{00000000-0005-0000-0000-0000B60B0000}"/>
    <cellStyle name="Style 1366 3" xfId="7011" xr:uid="{00000000-0005-0000-0000-0000B50B0000}"/>
    <cellStyle name="Style 1366 4" xfId="8412" xr:uid="{DFD7D01E-6A82-4DCF-8AB4-CD95105C1D90}"/>
    <cellStyle name="Style 1367" xfId="5592" xr:uid="{00000000-0005-0000-0000-0000B70B0000}"/>
    <cellStyle name="Style 1367 2" xfId="6052" xr:uid="{00000000-0005-0000-0000-0000B80B0000}"/>
    <cellStyle name="Style 1367 2 2" xfId="7472" xr:uid="{00000000-0005-0000-0000-0000B80B0000}"/>
    <cellStyle name="Style 1367 3" xfId="7012" xr:uid="{00000000-0005-0000-0000-0000B70B0000}"/>
    <cellStyle name="Style 1367 4" xfId="8413" xr:uid="{963C7F37-52D0-4533-8923-9D08E17F534A}"/>
    <cellStyle name="Style 1368" xfId="5593" xr:uid="{00000000-0005-0000-0000-0000B90B0000}"/>
    <cellStyle name="Style 1368 2" xfId="6053" xr:uid="{00000000-0005-0000-0000-0000BA0B0000}"/>
    <cellStyle name="Style 1368 2 2" xfId="7473" xr:uid="{00000000-0005-0000-0000-0000BA0B0000}"/>
    <cellStyle name="Style 1368 3" xfId="7013" xr:uid="{00000000-0005-0000-0000-0000B90B0000}"/>
    <cellStyle name="Style 1368 4" xfId="8414" xr:uid="{7AA0E973-0E80-49F0-B814-8102D3E6C65A}"/>
    <cellStyle name="Style 1369" xfId="5594" xr:uid="{00000000-0005-0000-0000-0000BB0B0000}"/>
    <cellStyle name="Style 1369 2" xfId="6054" xr:uid="{00000000-0005-0000-0000-0000BC0B0000}"/>
    <cellStyle name="Style 1369 2 2" xfId="7474" xr:uid="{00000000-0005-0000-0000-0000BC0B0000}"/>
    <cellStyle name="Style 1369 3" xfId="7014" xr:uid="{00000000-0005-0000-0000-0000BB0B0000}"/>
    <cellStyle name="Style 1369 4" xfId="8415" xr:uid="{F37A4F13-1ABD-47B1-A0D1-57AB85E6D4AF}"/>
    <cellStyle name="Style 1370" xfId="5595" xr:uid="{00000000-0005-0000-0000-0000BD0B0000}"/>
    <cellStyle name="Style 1370 2" xfId="6055" xr:uid="{00000000-0005-0000-0000-0000BE0B0000}"/>
    <cellStyle name="Style 1370 2 2" xfId="7475" xr:uid="{00000000-0005-0000-0000-0000BE0B0000}"/>
    <cellStyle name="Style 1370 3" xfId="7015" xr:uid="{00000000-0005-0000-0000-0000BD0B0000}"/>
    <cellStyle name="Style 1370 4" xfId="8416" xr:uid="{19F8C36B-9E90-4069-BA7A-F48E076749A0}"/>
    <cellStyle name="Style 1371" xfId="5596" xr:uid="{00000000-0005-0000-0000-0000BF0B0000}"/>
    <cellStyle name="Style 1371 2" xfId="6056" xr:uid="{00000000-0005-0000-0000-0000C00B0000}"/>
    <cellStyle name="Style 1371 2 2" xfId="7476" xr:uid="{00000000-0005-0000-0000-0000C00B0000}"/>
    <cellStyle name="Style 1371 3" xfId="7016" xr:uid="{00000000-0005-0000-0000-0000BF0B0000}"/>
    <cellStyle name="Style 1371 4" xfId="8417" xr:uid="{293B33B6-9753-4FDA-832C-1AD73F3B170C}"/>
    <cellStyle name="Style 1372" xfId="5597" xr:uid="{00000000-0005-0000-0000-0000C10B0000}"/>
    <cellStyle name="Style 1372 2" xfId="6057" xr:uid="{00000000-0005-0000-0000-0000C20B0000}"/>
    <cellStyle name="Style 1372 2 2" xfId="7477" xr:uid="{00000000-0005-0000-0000-0000C20B0000}"/>
    <cellStyle name="Style 1372 3" xfId="7017" xr:uid="{00000000-0005-0000-0000-0000C10B0000}"/>
    <cellStyle name="Style 1373" xfId="5598" xr:uid="{00000000-0005-0000-0000-0000C30B0000}"/>
    <cellStyle name="Style 1373 2" xfId="6058" xr:uid="{00000000-0005-0000-0000-0000C40B0000}"/>
    <cellStyle name="Style 1373 2 2" xfId="7478" xr:uid="{00000000-0005-0000-0000-0000C40B0000}"/>
    <cellStyle name="Style 1373 3" xfId="7018" xr:uid="{00000000-0005-0000-0000-0000C30B0000}"/>
    <cellStyle name="Style 1374" xfId="5599" xr:uid="{00000000-0005-0000-0000-0000C50B0000}"/>
    <cellStyle name="Style 1374 2" xfId="6059" xr:uid="{00000000-0005-0000-0000-0000C60B0000}"/>
    <cellStyle name="Style 1374 2 2" xfId="7479" xr:uid="{00000000-0005-0000-0000-0000C60B0000}"/>
    <cellStyle name="Style 1374 3" xfId="7019" xr:uid="{00000000-0005-0000-0000-0000C50B0000}"/>
    <cellStyle name="Style 1376" xfId="183" xr:uid="{00000000-0005-0000-0000-0000C70B0000}"/>
    <cellStyle name="Style 1376 10" xfId="2636" xr:uid="{00000000-0005-0000-0000-0000C80B0000}"/>
    <cellStyle name="Style 1376 10 2" xfId="4525" xr:uid="{00000000-0005-0000-0000-0000C90B0000}"/>
    <cellStyle name="Style 1376 11" xfId="2870" xr:uid="{00000000-0005-0000-0000-0000CA0B0000}"/>
    <cellStyle name="Style 1376 11 2" xfId="4759" xr:uid="{00000000-0005-0000-0000-0000CB0B0000}"/>
    <cellStyle name="Style 1376 12" xfId="3107" xr:uid="{00000000-0005-0000-0000-0000CC0B0000}"/>
    <cellStyle name="Style 1376 12 2" xfId="4993" xr:uid="{00000000-0005-0000-0000-0000CD0B0000}"/>
    <cellStyle name="Style 1376 13" xfId="5229" xr:uid="{00000000-0005-0000-0000-0000CE0B0000}"/>
    <cellStyle name="Style 1376 13 2" xfId="6689" xr:uid="{00000000-0005-0000-0000-0000CE0B0000}"/>
    <cellStyle name="Style 1376 14" xfId="5469" xr:uid="{00000000-0005-0000-0000-0000CF0B0000}"/>
    <cellStyle name="Style 1376 14 2" xfId="6893" xr:uid="{00000000-0005-0000-0000-0000CF0B0000}"/>
    <cellStyle name="Style 1376 15" xfId="5671" xr:uid="{00000000-0005-0000-0000-0000D00B0000}"/>
    <cellStyle name="Style 1376 15 2" xfId="7091" xr:uid="{00000000-0005-0000-0000-0000D00B0000}"/>
    <cellStyle name="Style 1376 16" xfId="5812" xr:uid="{00000000-0005-0000-0000-0000D10B0000}"/>
    <cellStyle name="Style 1376 16 2" xfId="7232" xr:uid="{00000000-0005-0000-0000-0000D10B0000}"/>
    <cellStyle name="Style 1376 17" xfId="6023" xr:uid="{00000000-0005-0000-0000-0000D20B0000}"/>
    <cellStyle name="Style 1376 17 2" xfId="7443" xr:uid="{00000000-0005-0000-0000-0000D20B0000}"/>
    <cellStyle name="Style 1376 18" xfId="6303" xr:uid="{00000000-0005-0000-0000-0000D30B0000}"/>
    <cellStyle name="Style 1376 18 2" xfId="7581" xr:uid="{00000000-0005-0000-0000-0000D30B0000}"/>
    <cellStyle name="Style 1376 2" xfId="184" xr:uid="{00000000-0005-0000-0000-0000D40B0000}"/>
    <cellStyle name="Style 1376 2 10" xfId="2871" xr:uid="{00000000-0005-0000-0000-0000D50B0000}"/>
    <cellStyle name="Style 1376 2 10 2" xfId="4760" xr:uid="{00000000-0005-0000-0000-0000D60B0000}"/>
    <cellStyle name="Style 1376 2 11" xfId="3108" xr:uid="{00000000-0005-0000-0000-0000D70B0000}"/>
    <cellStyle name="Style 1376 2 11 2" xfId="4994" xr:uid="{00000000-0005-0000-0000-0000D80B0000}"/>
    <cellStyle name="Style 1376 2 12" xfId="5230" xr:uid="{00000000-0005-0000-0000-0000D90B0000}"/>
    <cellStyle name="Style 1376 2 12 2" xfId="6690" xr:uid="{00000000-0005-0000-0000-0000D90B0000}"/>
    <cellStyle name="Style 1376 2 13" xfId="5672" xr:uid="{00000000-0005-0000-0000-0000DA0B0000}"/>
    <cellStyle name="Style 1376 2 13 2" xfId="7092" xr:uid="{00000000-0005-0000-0000-0000DA0B0000}"/>
    <cellStyle name="Style 1376 2 14" xfId="5813" xr:uid="{00000000-0005-0000-0000-0000DB0B0000}"/>
    <cellStyle name="Style 1376 2 14 2" xfId="7233" xr:uid="{00000000-0005-0000-0000-0000DB0B0000}"/>
    <cellStyle name="Style 1376 2 15" xfId="6304" xr:uid="{00000000-0005-0000-0000-0000DC0B0000}"/>
    <cellStyle name="Style 1376 2 15 2" xfId="7582" xr:uid="{00000000-0005-0000-0000-0000DC0B0000}"/>
    <cellStyle name="Style 1376 2 2" xfId="418" xr:uid="{00000000-0005-0000-0000-0000DD0B0000}"/>
    <cellStyle name="Style 1376 2 2 2" xfId="891" xr:uid="{00000000-0005-0000-0000-0000DE0B0000}"/>
    <cellStyle name="Style 1376 2 2 3" xfId="8418" xr:uid="{0E2CB27D-6EF1-4BA0-BEF0-9252A6B859FC}"/>
    <cellStyle name="Style 1376 2 3" xfId="652" xr:uid="{00000000-0005-0000-0000-0000DF0B0000}"/>
    <cellStyle name="Style 1376 2 3 2" xfId="1125" xr:uid="{00000000-0005-0000-0000-0000E00B0000}"/>
    <cellStyle name="Style 1376 2 3 3" xfId="8419" xr:uid="{02446B6E-6B9E-4E4F-BCE6-F8E554DD75F7}"/>
    <cellStyle name="Style 1376 2 4" xfId="1365" xr:uid="{00000000-0005-0000-0000-0000E10B0000}"/>
    <cellStyle name="Style 1376 2 4 2" xfId="3349" xr:uid="{00000000-0005-0000-0000-0000E20B0000}"/>
    <cellStyle name="Style 1376 2 4 3" xfId="8420" xr:uid="{7B5A9E0F-C86A-4F1A-A055-D11694BE4F17}"/>
    <cellStyle name="Style 1376 2 5" xfId="1660" xr:uid="{00000000-0005-0000-0000-0000E30B0000}"/>
    <cellStyle name="Style 1376 2 5 2" xfId="3587" xr:uid="{00000000-0005-0000-0000-0000E40B0000}"/>
    <cellStyle name="Style 1376 2 6" xfId="1911" xr:uid="{00000000-0005-0000-0000-0000E50B0000}"/>
    <cellStyle name="Style 1376 2 6 2" xfId="3821" xr:uid="{00000000-0005-0000-0000-0000E60B0000}"/>
    <cellStyle name="Style 1376 2 7" xfId="2155" xr:uid="{00000000-0005-0000-0000-0000E70B0000}"/>
    <cellStyle name="Style 1376 2 7 2" xfId="4056" xr:uid="{00000000-0005-0000-0000-0000E80B0000}"/>
    <cellStyle name="Style 1376 2 8" xfId="2390" xr:uid="{00000000-0005-0000-0000-0000E90B0000}"/>
    <cellStyle name="Style 1376 2 8 2" xfId="4291" xr:uid="{00000000-0005-0000-0000-0000EA0B0000}"/>
    <cellStyle name="Style 1376 2 9" xfId="2637" xr:uid="{00000000-0005-0000-0000-0000EB0B0000}"/>
    <cellStyle name="Style 1376 2 9 2" xfId="4526" xr:uid="{00000000-0005-0000-0000-0000EC0B0000}"/>
    <cellStyle name="Style 1376 3" xfId="417" xr:uid="{00000000-0005-0000-0000-0000ED0B0000}"/>
    <cellStyle name="Style 1376 3 2" xfId="890" xr:uid="{00000000-0005-0000-0000-0000EE0B0000}"/>
    <cellStyle name="Style 1376 3 2 2" xfId="8422" xr:uid="{88850ABA-5237-4FE1-B2DF-6FEEDE93619A}"/>
    <cellStyle name="Style 1376 3 3" xfId="8421" xr:uid="{302010F8-D314-47A8-86EE-D29B2DBF1334}"/>
    <cellStyle name="Style 1376 4" xfId="651" xr:uid="{00000000-0005-0000-0000-0000EF0B0000}"/>
    <cellStyle name="Style 1376 4 2" xfId="1124" xr:uid="{00000000-0005-0000-0000-0000F00B0000}"/>
    <cellStyle name="Style 1376 4 3" xfId="8423" xr:uid="{B7782FD8-7844-4168-84E6-7988724B186B}"/>
    <cellStyle name="Style 1376 5" xfId="1364" xr:uid="{00000000-0005-0000-0000-0000F10B0000}"/>
    <cellStyle name="Style 1376 5 2" xfId="3348" xr:uid="{00000000-0005-0000-0000-0000F20B0000}"/>
    <cellStyle name="Style 1376 6" xfId="1659" xr:uid="{00000000-0005-0000-0000-0000F30B0000}"/>
    <cellStyle name="Style 1376 6 2" xfId="3586" xr:uid="{00000000-0005-0000-0000-0000F40B0000}"/>
    <cellStyle name="Style 1376 7" xfId="1910" xr:uid="{00000000-0005-0000-0000-0000F50B0000}"/>
    <cellStyle name="Style 1376 7 2" xfId="3820" xr:uid="{00000000-0005-0000-0000-0000F60B0000}"/>
    <cellStyle name="Style 1376 8" xfId="2154" xr:uid="{00000000-0005-0000-0000-0000F70B0000}"/>
    <cellStyle name="Style 1376 8 2" xfId="4055" xr:uid="{00000000-0005-0000-0000-0000F80B0000}"/>
    <cellStyle name="Style 1376 9" xfId="2389" xr:uid="{00000000-0005-0000-0000-0000F90B0000}"/>
    <cellStyle name="Style 1376 9 2" xfId="4290" xr:uid="{00000000-0005-0000-0000-0000FA0B0000}"/>
    <cellStyle name="Style 1377" xfId="185" xr:uid="{00000000-0005-0000-0000-0000FB0B0000}"/>
    <cellStyle name="Style 1377 10" xfId="2638" xr:uid="{00000000-0005-0000-0000-0000FC0B0000}"/>
    <cellStyle name="Style 1377 10 2" xfId="4527" xr:uid="{00000000-0005-0000-0000-0000FD0B0000}"/>
    <cellStyle name="Style 1377 11" xfId="2872" xr:uid="{00000000-0005-0000-0000-0000FE0B0000}"/>
    <cellStyle name="Style 1377 11 2" xfId="4761" xr:uid="{00000000-0005-0000-0000-0000FF0B0000}"/>
    <cellStyle name="Style 1377 12" xfId="3109" xr:uid="{00000000-0005-0000-0000-0000000C0000}"/>
    <cellStyle name="Style 1377 12 2" xfId="4995" xr:uid="{00000000-0005-0000-0000-0000010C0000}"/>
    <cellStyle name="Style 1377 13" xfId="5231" xr:uid="{00000000-0005-0000-0000-0000020C0000}"/>
    <cellStyle name="Style 1377 13 2" xfId="6691" xr:uid="{00000000-0005-0000-0000-0000020C0000}"/>
    <cellStyle name="Style 1377 14" xfId="5470" xr:uid="{00000000-0005-0000-0000-0000030C0000}"/>
    <cellStyle name="Style 1377 14 2" xfId="6894" xr:uid="{00000000-0005-0000-0000-0000030C0000}"/>
    <cellStyle name="Style 1377 15" xfId="5673" xr:uid="{00000000-0005-0000-0000-0000040C0000}"/>
    <cellStyle name="Style 1377 15 2" xfId="7093" xr:uid="{00000000-0005-0000-0000-0000040C0000}"/>
    <cellStyle name="Style 1377 16" xfId="5814" xr:uid="{00000000-0005-0000-0000-0000050C0000}"/>
    <cellStyle name="Style 1377 16 2" xfId="7234" xr:uid="{00000000-0005-0000-0000-0000050C0000}"/>
    <cellStyle name="Style 1377 17" xfId="6024" xr:uid="{00000000-0005-0000-0000-0000060C0000}"/>
    <cellStyle name="Style 1377 17 2" xfId="7444" xr:uid="{00000000-0005-0000-0000-0000060C0000}"/>
    <cellStyle name="Style 1377 18" xfId="6305" xr:uid="{00000000-0005-0000-0000-0000070C0000}"/>
    <cellStyle name="Style 1377 18 2" xfId="7583" xr:uid="{00000000-0005-0000-0000-0000070C0000}"/>
    <cellStyle name="Style 1377 2" xfId="186" xr:uid="{00000000-0005-0000-0000-0000080C0000}"/>
    <cellStyle name="Style 1377 2 10" xfId="2873" xr:uid="{00000000-0005-0000-0000-0000090C0000}"/>
    <cellStyle name="Style 1377 2 10 2" xfId="4762" xr:uid="{00000000-0005-0000-0000-00000A0C0000}"/>
    <cellStyle name="Style 1377 2 11" xfId="3110" xr:uid="{00000000-0005-0000-0000-00000B0C0000}"/>
    <cellStyle name="Style 1377 2 11 2" xfId="4996" xr:uid="{00000000-0005-0000-0000-00000C0C0000}"/>
    <cellStyle name="Style 1377 2 12" xfId="5232" xr:uid="{00000000-0005-0000-0000-00000D0C0000}"/>
    <cellStyle name="Style 1377 2 12 2" xfId="6692" xr:uid="{00000000-0005-0000-0000-00000D0C0000}"/>
    <cellStyle name="Style 1377 2 13" xfId="5674" xr:uid="{00000000-0005-0000-0000-00000E0C0000}"/>
    <cellStyle name="Style 1377 2 13 2" xfId="7094" xr:uid="{00000000-0005-0000-0000-00000E0C0000}"/>
    <cellStyle name="Style 1377 2 14" xfId="5815" xr:uid="{00000000-0005-0000-0000-00000F0C0000}"/>
    <cellStyle name="Style 1377 2 14 2" xfId="7235" xr:uid="{00000000-0005-0000-0000-00000F0C0000}"/>
    <cellStyle name="Style 1377 2 15" xfId="6306" xr:uid="{00000000-0005-0000-0000-0000100C0000}"/>
    <cellStyle name="Style 1377 2 15 2" xfId="7584" xr:uid="{00000000-0005-0000-0000-0000100C0000}"/>
    <cellStyle name="Style 1377 2 2" xfId="420" xr:uid="{00000000-0005-0000-0000-0000110C0000}"/>
    <cellStyle name="Style 1377 2 2 2" xfId="893" xr:uid="{00000000-0005-0000-0000-0000120C0000}"/>
    <cellStyle name="Style 1377 2 2 3" xfId="8424" xr:uid="{2E945892-B41F-409F-8433-585DA2CB73B3}"/>
    <cellStyle name="Style 1377 2 3" xfId="654" xr:uid="{00000000-0005-0000-0000-0000130C0000}"/>
    <cellStyle name="Style 1377 2 3 2" xfId="1127" xr:uid="{00000000-0005-0000-0000-0000140C0000}"/>
    <cellStyle name="Style 1377 2 3 3" xfId="8425" xr:uid="{ADF3EA44-A5C2-40FC-BD04-E63AEEC8B6FC}"/>
    <cellStyle name="Style 1377 2 4" xfId="1367" xr:uid="{00000000-0005-0000-0000-0000150C0000}"/>
    <cellStyle name="Style 1377 2 4 2" xfId="3351" xr:uid="{00000000-0005-0000-0000-0000160C0000}"/>
    <cellStyle name="Style 1377 2 4 3" xfId="8426" xr:uid="{9A14E2D3-E4B9-41B7-BFCB-71FCE00B33F4}"/>
    <cellStyle name="Style 1377 2 5" xfId="1662" xr:uid="{00000000-0005-0000-0000-0000170C0000}"/>
    <cellStyle name="Style 1377 2 5 2" xfId="3589" xr:uid="{00000000-0005-0000-0000-0000180C0000}"/>
    <cellStyle name="Style 1377 2 6" xfId="1913" xr:uid="{00000000-0005-0000-0000-0000190C0000}"/>
    <cellStyle name="Style 1377 2 6 2" xfId="3823" xr:uid="{00000000-0005-0000-0000-00001A0C0000}"/>
    <cellStyle name="Style 1377 2 7" xfId="2157" xr:uid="{00000000-0005-0000-0000-00001B0C0000}"/>
    <cellStyle name="Style 1377 2 7 2" xfId="4058" xr:uid="{00000000-0005-0000-0000-00001C0C0000}"/>
    <cellStyle name="Style 1377 2 8" xfId="2392" xr:uid="{00000000-0005-0000-0000-00001D0C0000}"/>
    <cellStyle name="Style 1377 2 8 2" xfId="4293" xr:uid="{00000000-0005-0000-0000-00001E0C0000}"/>
    <cellStyle name="Style 1377 2 9" xfId="2639" xr:uid="{00000000-0005-0000-0000-00001F0C0000}"/>
    <cellStyle name="Style 1377 2 9 2" xfId="4528" xr:uid="{00000000-0005-0000-0000-0000200C0000}"/>
    <cellStyle name="Style 1377 3" xfId="419" xr:uid="{00000000-0005-0000-0000-0000210C0000}"/>
    <cellStyle name="Style 1377 3 2" xfId="892" xr:uid="{00000000-0005-0000-0000-0000220C0000}"/>
    <cellStyle name="Style 1377 3 2 2" xfId="8428" xr:uid="{A7DA7399-1342-4CF1-B6ED-4C12666C27E1}"/>
    <cellStyle name="Style 1377 3 3" xfId="8427" xr:uid="{2143AD6E-CA6C-4AB6-AA03-CA8A0793DE62}"/>
    <cellStyle name="Style 1377 4" xfId="653" xr:uid="{00000000-0005-0000-0000-0000230C0000}"/>
    <cellStyle name="Style 1377 4 2" xfId="1126" xr:uid="{00000000-0005-0000-0000-0000240C0000}"/>
    <cellStyle name="Style 1377 4 3" xfId="8429" xr:uid="{B3D1E47F-4D1A-4B56-9D6A-1E214634F76B}"/>
    <cellStyle name="Style 1377 5" xfId="1366" xr:uid="{00000000-0005-0000-0000-0000250C0000}"/>
    <cellStyle name="Style 1377 5 2" xfId="3350" xr:uid="{00000000-0005-0000-0000-0000260C0000}"/>
    <cellStyle name="Style 1377 6" xfId="1661" xr:uid="{00000000-0005-0000-0000-0000270C0000}"/>
    <cellStyle name="Style 1377 6 2" xfId="3588" xr:uid="{00000000-0005-0000-0000-0000280C0000}"/>
    <cellStyle name="Style 1377 7" xfId="1912" xr:uid="{00000000-0005-0000-0000-0000290C0000}"/>
    <cellStyle name="Style 1377 7 2" xfId="3822" xr:uid="{00000000-0005-0000-0000-00002A0C0000}"/>
    <cellStyle name="Style 1377 8" xfId="2156" xr:uid="{00000000-0005-0000-0000-00002B0C0000}"/>
    <cellStyle name="Style 1377 8 2" xfId="4057" xr:uid="{00000000-0005-0000-0000-00002C0C0000}"/>
    <cellStyle name="Style 1377 9" xfId="2391" xr:uid="{00000000-0005-0000-0000-00002D0C0000}"/>
    <cellStyle name="Style 1377 9 2" xfId="4292" xr:uid="{00000000-0005-0000-0000-00002E0C0000}"/>
    <cellStyle name="Style 1378" xfId="187" xr:uid="{00000000-0005-0000-0000-00002F0C0000}"/>
    <cellStyle name="Style 1378 10" xfId="2640" xr:uid="{00000000-0005-0000-0000-0000300C0000}"/>
    <cellStyle name="Style 1378 10 2" xfId="4529" xr:uid="{00000000-0005-0000-0000-0000310C0000}"/>
    <cellStyle name="Style 1378 11" xfId="2874" xr:uid="{00000000-0005-0000-0000-0000320C0000}"/>
    <cellStyle name="Style 1378 11 2" xfId="4763" xr:uid="{00000000-0005-0000-0000-0000330C0000}"/>
    <cellStyle name="Style 1378 12" xfId="3111" xr:uid="{00000000-0005-0000-0000-0000340C0000}"/>
    <cellStyle name="Style 1378 12 2" xfId="4997" xr:uid="{00000000-0005-0000-0000-0000350C0000}"/>
    <cellStyle name="Style 1378 13" xfId="5233" xr:uid="{00000000-0005-0000-0000-0000360C0000}"/>
    <cellStyle name="Style 1378 13 2" xfId="6693" xr:uid="{00000000-0005-0000-0000-0000360C0000}"/>
    <cellStyle name="Style 1378 14" xfId="5471" xr:uid="{00000000-0005-0000-0000-0000370C0000}"/>
    <cellStyle name="Style 1378 14 2" xfId="6895" xr:uid="{00000000-0005-0000-0000-0000370C0000}"/>
    <cellStyle name="Style 1378 15" xfId="5675" xr:uid="{00000000-0005-0000-0000-0000380C0000}"/>
    <cellStyle name="Style 1378 15 2" xfId="7095" xr:uid="{00000000-0005-0000-0000-0000380C0000}"/>
    <cellStyle name="Style 1378 16" xfId="5816" xr:uid="{00000000-0005-0000-0000-0000390C0000}"/>
    <cellStyle name="Style 1378 16 2" xfId="7236" xr:uid="{00000000-0005-0000-0000-0000390C0000}"/>
    <cellStyle name="Style 1378 17" xfId="6025" xr:uid="{00000000-0005-0000-0000-00003A0C0000}"/>
    <cellStyle name="Style 1378 17 2" xfId="7445" xr:uid="{00000000-0005-0000-0000-00003A0C0000}"/>
    <cellStyle name="Style 1378 18" xfId="6307" xr:uid="{00000000-0005-0000-0000-00003B0C0000}"/>
    <cellStyle name="Style 1378 18 2" xfId="7585" xr:uid="{00000000-0005-0000-0000-00003B0C0000}"/>
    <cellStyle name="Style 1378 2" xfId="188" xr:uid="{00000000-0005-0000-0000-00003C0C0000}"/>
    <cellStyle name="Style 1378 2 10" xfId="2875" xr:uid="{00000000-0005-0000-0000-00003D0C0000}"/>
    <cellStyle name="Style 1378 2 10 2" xfId="4764" xr:uid="{00000000-0005-0000-0000-00003E0C0000}"/>
    <cellStyle name="Style 1378 2 11" xfId="3112" xr:uid="{00000000-0005-0000-0000-00003F0C0000}"/>
    <cellStyle name="Style 1378 2 11 2" xfId="4998" xr:uid="{00000000-0005-0000-0000-0000400C0000}"/>
    <cellStyle name="Style 1378 2 12" xfId="5234" xr:uid="{00000000-0005-0000-0000-0000410C0000}"/>
    <cellStyle name="Style 1378 2 12 2" xfId="6694" xr:uid="{00000000-0005-0000-0000-0000410C0000}"/>
    <cellStyle name="Style 1378 2 13" xfId="5676" xr:uid="{00000000-0005-0000-0000-0000420C0000}"/>
    <cellStyle name="Style 1378 2 13 2" xfId="7096" xr:uid="{00000000-0005-0000-0000-0000420C0000}"/>
    <cellStyle name="Style 1378 2 14" xfId="5817" xr:uid="{00000000-0005-0000-0000-0000430C0000}"/>
    <cellStyle name="Style 1378 2 14 2" xfId="7237" xr:uid="{00000000-0005-0000-0000-0000430C0000}"/>
    <cellStyle name="Style 1378 2 15" xfId="6308" xr:uid="{00000000-0005-0000-0000-0000440C0000}"/>
    <cellStyle name="Style 1378 2 15 2" xfId="7586" xr:uid="{00000000-0005-0000-0000-0000440C0000}"/>
    <cellStyle name="Style 1378 2 2" xfId="422" xr:uid="{00000000-0005-0000-0000-0000450C0000}"/>
    <cellStyle name="Style 1378 2 2 2" xfId="895" xr:uid="{00000000-0005-0000-0000-0000460C0000}"/>
    <cellStyle name="Style 1378 2 2 3" xfId="8430" xr:uid="{59E31BB5-69B3-441F-97B1-7D5C29AD3CB3}"/>
    <cellStyle name="Style 1378 2 3" xfId="656" xr:uid="{00000000-0005-0000-0000-0000470C0000}"/>
    <cellStyle name="Style 1378 2 3 2" xfId="1129" xr:uid="{00000000-0005-0000-0000-0000480C0000}"/>
    <cellStyle name="Style 1378 2 3 3" xfId="8431" xr:uid="{3C1194AB-BDEF-45E5-A163-2E6370B1E8A1}"/>
    <cellStyle name="Style 1378 2 4" xfId="1369" xr:uid="{00000000-0005-0000-0000-0000490C0000}"/>
    <cellStyle name="Style 1378 2 4 2" xfId="3353" xr:uid="{00000000-0005-0000-0000-00004A0C0000}"/>
    <cellStyle name="Style 1378 2 4 3" xfId="8432" xr:uid="{A84E7C85-2013-4BFE-B9AF-16F23F00A6FD}"/>
    <cellStyle name="Style 1378 2 5" xfId="1664" xr:uid="{00000000-0005-0000-0000-00004B0C0000}"/>
    <cellStyle name="Style 1378 2 5 2" xfId="3591" xr:uid="{00000000-0005-0000-0000-00004C0C0000}"/>
    <cellStyle name="Style 1378 2 6" xfId="1915" xr:uid="{00000000-0005-0000-0000-00004D0C0000}"/>
    <cellStyle name="Style 1378 2 6 2" xfId="3825" xr:uid="{00000000-0005-0000-0000-00004E0C0000}"/>
    <cellStyle name="Style 1378 2 7" xfId="2159" xr:uid="{00000000-0005-0000-0000-00004F0C0000}"/>
    <cellStyle name="Style 1378 2 7 2" xfId="4060" xr:uid="{00000000-0005-0000-0000-0000500C0000}"/>
    <cellStyle name="Style 1378 2 8" xfId="2394" xr:uid="{00000000-0005-0000-0000-0000510C0000}"/>
    <cellStyle name="Style 1378 2 8 2" xfId="4295" xr:uid="{00000000-0005-0000-0000-0000520C0000}"/>
    <cellStyle name="Style 1378 2 9" xfId="2641" xr:uid="{00000000-0005-0000-0000-0000530C0000}"/>
    <cellStyle name="Style 1378 2 9 2" xfId="4530" xr:uid="{00000000-0005-0000-0000-0000540C0000}"/>
    <cellStyle name="Style 1378 3" xfId="421" xr:uid="{00000000-0005-0000-0000-0000550C0000}"/>
    <cellStyle name="Style 1378 3 2" xfId="894" xr:uid="{00000000-0005-0000-0000-0000560C0000}"/>
    <cellStyle name="Style 1378 3 2 2" xfId="8434" xr:uid="{C9FD8CF6-13AD-408D-A522-86E3109FEF73}"/>
    <cellStyle name="Style 1378 3 3" xfId="8433" xr:uid="{74968AC7-CDC5-4031-A3BA-55F6D325BD8B}"/>
    <cellStyle name="Style 1378 4" xfId="655" xr:uid="{00000000-0005-0000-0000-0000570C0000}"/>
    <cellStyle name="Style 1378 4 2" xfId="1128" xr:uid="{00000000-0005-0000-0000-0000580C0000}"/>
    <cellStyle name="Style 1378 4 3" xfId="8435" xr:uid="{C96340DD-40B6-456D-B247-7D7E1AA10D53}"/>
    <cellStyle name="Style 1378 5" xfId="1368" xr:uid="{00000000-0005-0000-0000-0000590C0000}"/>
    <cellStyle name="Style 1378 5 2" xfId="3352" xr:uid="{00000000-0005-0000-0000-00005A0C0000}"/>
    <cellStyle name="Style 1378 6" xfId="1663" xr:uid="{00000000-0005-0000-0000-00005B0C0000}"/>
    <cellStyle name="Style 1378 6 2" xfId="3590" xr:uid="{00000000-0005-0000-0000-00005C0C0000}"/>
    <cellStyle name="Style 1378 7" xfId="1914" xr:uid="{00000000-0005-0000-0000-00005D0C0000}"/>
    <cellStyle name="Style 1378 7 2" xfId="3824" xr:uid="{00000000-0005-0000-0000-00005E0C0000}"/>
    <cellStyle name="Style 1378 8" xfId="2158" xr:uid="{00000000-0005-0000-0000-00005F0C0000}"/>
    <cellStyle name="Style 1378 8 2" xfId="4059" xr:uid="{00000000-0005-0000-0000-0000600C0000}"/>
    <cellStyle name="Style 1378 9" xfId="2393" xr:uid="{00000000-0005-0000-0000-0000610C0000}"/>
    <cellStyle name="Style 1378 9 2" xfId="4294" xr:uid="{00000000-0005-0000-0000-0000620C0000}"/>
    <cellStyle name="Style 1379" xfId="189" xr:uid="{00000000-0005-0000-0000-0000630C0000}"/>
    <cellStyle name="Style 1379 10" xfId="2642" xr:uid="{00000000-0005-0000-0000-0000640C0000}"/>
    <cellStyle name="Style 1379 10 2" xfId="4531" xr:uid="{00000000-0005-0000-0000-0000650C0000}"/>
    <cellStyle name="Style 1379 11" xfId="2876" xr:uid="{00000000-0005-0000-0000-0000660C0000}"/>
    <cellStyle name="Style 1379 11 2" xfId="4765" xr:uid="{00000000-0005-0000-0000-0000670C0000}"/>
    <cellStyle name="Style 1379 12" xfId="3113" xr:uid="{00000000-0005-0000-0000-0000680C0000}"/>
    <cellStyle name="Style 1379 12 2" xfId="4999" xr:uid="{00000000-0005-0000-0000-0000690C0000}"/>
    <cellStyle name="Style 1379 13" xfId="5235" xr:uid="{00000000-0005-0000-0000-00006A0C0000}"/>
    <cellStyle name="Style 1379 13 2" xfId="6695" xr:uid="{00000000-0005-0000-0000-00006A0C0000}"/>
    <cellStyle name="Style 1379 14" xfId="5472" xr:uid="{00000000-0005-0000-0000-00006B0C0000}"/>
    <cellStyle name="Style 1379 14 2" xfId="6896" xr:uid="{00000000-0005-0000-0000-00006B0C0000}"/>
    <cellStyle name="Style 1379 15" xfId="5677" xr:uid="{00000000-0005-0000-0000-00006C0C0000}"/>
    <cellStyle name="Style 1379 15 2" xfId="7097" xr:uid="{00000000-0005-0000-0000-00006C0C0000}"/>
    <cellStyle name="Style 1379 16" xfId="5818" xr:uid="{00000000-0005-0000-0000-00006D0C0000}"/>
    <cellStyle name="Style 1379 16 2" xfId="7238" xr:uid="{00000000-0005-0000-0000-00006D0C0000}"/>
    <cellStyle name="Style 1379 17" xfId="6026" xr:uid="{00000000-0005-0000-0000-00006E0C0000}"/>
    <cellStyle name="Style 1379 17 2" xfId="7446" xr:uid="{00000000-0005-0000-0000-00006E0C0000}"/>
    <cellStyle name="Style 1379 18" xfId="6309" xr:uid="{00000000-0005-0000-0000-00006F0C0000}"/>
    <cellStyle name="Style 1379 18 2" xfId="7587" xr:uid="{00000000-0005-0000-0000-00006F0C0000}"/>
    <cellStyle name="Style 1379 2" xfId="190" xr:uid="{00000000-0005-0000-0000-0000700C0000}"/>
    <cellStyle name="Style 1379 2 10" xfId="2877" xr:uid="{00000000-0005-0000-0000-0000710C0000}"/>
    <cellStyle name="Style 1379 2 10 2" xfId="4766" xr:uid="{00000000-0005-0000-0000-0000720C0000}"/>
    <cellStyle name="Style 1379 2 11" xfId="3114" xr:uid="{00000000-0005-0000-0000-0000730C0000}"/>
    <cellStyle name="Style 1379 2 11 2" xfId="5000" xr:uid="{00000000-0005-0000-0000-0000740C0000}"/>
    <cellStyle name="Style 1379 2 12" xfId="5236" xr:uid="{00000000-0005-0000-0000-0000750C0000}"/>
    <cellStyle name="Style 1379 2 12 2" xfId="6696" xr:uid="{00000000-0005-0000-0000-0000750C0000}"/>
    <cellStyle name="Style 1379 2 13" xfId="5678" xr:uid="{00000000-0005-0000-0000-0000760C0000}"/>
    <cellStyle name="Style 1379 2 13 2" xfId="7098" xr:uid="{00000000-0005-0000-0000-0000760C0000}"/>
    <cellStyle name="Style 1379 2 14" xfId="5819" xr:uid="{00000000-0005-0000-0000-0000770C0000}"/>
    <cellStyle name="Style 1379 2 14 2" xfId="7239" xr:uid="{00000000-0005-0000-0000-0000770C0000}"/>
    <cellStyle name="Style 1379 2 15" xfId="6310" xr:uid="{00000000-0005-0000-0000-0000780C0000}"/>
    <cellStyle name="Style 1379 2 15 2" xfId="7588" xr:uid="{00000000-0005-0000-0000-0000780C0000}"/>
    <cellStyle name="Style 1379 2 2" xfId="424" xr:uid="{00000000-0005-0000-0000-0000790C0000}"/>
    <cellStyle name="Style 1379 2 2 2" xfId="897" xr:uid="{00000000-0005-0000-0000-00007A0C0000}"/>
    <cellStyle name="Style 1379 2 2 3" xfId="8436" xr:uid="{7DE228B5-FBC6-469B-A7AD-C57C3A1E5F33}"/>
    <cellStyle name="Style 1379 2 3" xfId="658" xr:uid="{00000000-0005-0000-0000-00007B0C0000}"/>
    <cellStyle name="Style 1379 2 3 2" xfId="1131" xr:uid="{00000000-0005-0000-0000-00007C0C0000}"/>
    <cellStyle name="Style 1379 2 3 3" xfId="8437" xr:uid="{E66EACEB-8209-42BA-BED7-FD64C08CF007}"/>
    <cellStyle name="Style 1379 2 4" xfId="1371" xr:uid="{00000000-0005-0000-0000-00007D0C0000}"/>
    <cellStyle name="Style 1379 2 4 2" xfId="3355" xr:uid="{00000000-0005-0000-0000-00007E0C0000}"/>
    <cellStyle name="Style 1379 2 4 3" xfId="8438" xr:uid="{4F2AF116-1EF8-45C0-8BDD-8AC6C4376DDD}"/>
    <cellStyle name="Style 1379 2 5" xfId="1666" xr:uid="{00000000-0005-0000-0000-00007F0C0000}"/>
    <cellStyle name="Style 1379 2 5 2" xfId="3593" xr:uid="{00000000-0005-0000-0000-0000800C0000}"/>
    <cellStyle name="Style 1379 2 6" xfId="1917" xr:uid="{00000000-0005-0000-0000-0000810C0000}"/>
    <cellStyle name="Style 1379 2 6 2" xfId="3827" xr:uid="{00000000-0005-0000-0000-0000820C0000}"/>
    <cellStyle name="Style 1379 2 7" xfId="2161" xr:uid="{00000000-0005-0000-0000-0000830C0000}"/>
    <cellStyle name="Style 1379 2 7 2" xfId="4062" xr:uid="{00000000-0005-0000-0000-0000840C0000}"/>
    <cellStyle name="Style 1379 2 8" xfId="2396" xr:uid="{00000000-0005-0000-0000-0000850C0000}"/>
    <cellStyle name="Style 1379 2 8 2" xfId="4297" xr:uid="{00000000-0005-0000-0000-0000860C0000}"/>
    <cellStyle name="Style 1379 2 9" xfId="2643" xr:uid="{00000000-0005-0000-0000-0000870C0000}"/>
    <cellStyle name="Style 1379 2 9 2" xfId="4532" xr:uid="{00000000-0005-0000-0000-0000880C0000}"/>
    <cellStyle name="Style 1379 3" xfId="423" xr:uid="{00000000-0005-0000-0000-0000890C0000}"/>
    <cellStyle name="Style 1379 3 2" xfId="896" xr:uid="{00000000-0005-0000-0000-00008A0C0000}"/>
    <cellStyle name="Style 1379 3 2 2" xfId="8440" xr:uid="{F27D6165-3F64-442B-B780-E2A4F4F50D4E}"/>
    <cellStyle name="Style 1379 3 3" xfId="8439" xr:uid="{C552C2FD-49CD-4C73-AA8C-42AF7DD0D717}"/>
    <cellStyle name="Style 1379 4" xfId="657" xr:uid="{00000000-0005-0000-0000-00008B0C0000}"/>
    <cellStyle name="Style 1379 4 2" xfId="1130" xr:uid="{00000000-0005-0000-0000-00008C0C0000}"/>
    <cellStyle name="Style 1379 4 3" xfId="8441" xr:uid="{EE156A0C-BBDF-409E-843A-5C3711797D3D}"/>
    <cellStyle name="Style 1379 5" xfId="1370" xr:uid="{00000000-0005-0000-0000-00008D0C0000}"/>
    <cellStyle name="Style 1379 5 2" xfId="3354" xr:uid="{00000000-0005-0000-0000-00008E0C0000}"/>
    <cellStyle name="Style 1379 6" xfId="1665" xr:uid="{00000000-0005-0000-0000-00008F0C0000}"/>
    <cellStyle name="Style 1379 6 2" xfId="3592" xr:uid="{00000000-0005-0000-0000-0000900C0000}"/>
    <cellStyle name="Style 1379 7" xfId="1916" xr:uid="{00000000-0005-0000-0000-0000910C0000}"/>
    <cellStyle name="Style 1379 7 2" xfId="3826" xr:uid="{00000000-0005-0000-0000-0000920C0000}"/>
    <cellStyle name="Style 1379 8" xfId="2160" xr:uid="{00000000-0005-0000-0000-0000930C0000}"/>
    <cellStyle name="Style 1379 8 2" xfId="4061" xr:uid="{00000000-0005-0000-0000-0000940C0000}"/>
    <cellStyle name="Style 1379 9" xfId="2395" xr:uid="{00000000-0005-0000-0000-0000950C0000}"/>
    <cellStyle name="Style 1379 9 2" xfId="4296" xr:uid="{00000000-0005-0000-0000-0000960C0000}"/>
    <cellStyle name="Style 1380" xfId="191" xr:uid="{00000000-0005-0000-0000-0000970C0000}"/>
    <cellStyle name="Style 1380 10" xfId="2644" xr:uid="{00000000-0005-0000-0000-0000980C0000}"/>
    <cellStyle name="Style 1380 10 2" xfId="4533" xr:uid="{00000000-0005-0000-0000-0000990C0000}"/>
    <cellStyle name="Style 1380 11" xfId="2878" xr:uid="{00000000-0005-0000-0000-00009A0C0000}"/>
    <cellStyle name="Style 1380 11 2" xfId="4767" xr:uid="{00000000-0005-0000-0000-00009B0C0000}"/>
    <cellStyle name="Style 1380 12" xfId="3115" xr:uid="{00000000-0005-0000-0000-00009C0C0000}"/>
    <cellStyle name="Style 1380 12 2" xfId="5001" xr:uid="{00000000-0005-0000-0000-00009D0C0000}"/>
    <cellStyle name="Style 1380 13" xfId="5237" xr:uid="{00000000-0005-0000-0000-00009E0C0000}"/>
    <cellStyle name="Style 1380 13 2" xfId="6697" xr:uid="{00000000-0005-0000-0000-00009E0C0000}"/>
    <cellStyle name="Style 1380 14" xfId="5473" xr:uid="{00000000-0005-0000-0000-00009F0C0000}"/>
    <cellStyle name="Style 1380 14 2" xfId="6897" xr:uid="{00000000-0005-0000-0000-00009F0C0000}"/>
    <cellStyle name="Style 1380 15" xfId="5679" xr:uid="{00000000-0005-0000-0000-0000A00C0000}"/>
    <cellStyle name="Style 1380 15 2" xfId="7099" xr:uid="{00000000-0005-0000-0000-0000A00C0000}"/>
    <cellStyle name="Style 1380 16" xfId="5820" xr:uid="{00000000-0005-0000-0000-0000A10C0000}"/>
    <cellStyle name="Style 1380 16 2" xfId="7240" xr:uid="{00000000-0005-0000-0000-0000A10C0000}"/>
    <cellStyle name="Style 1380 17" xfId="6027" xr:uid="{00000000-0005-0000-0000-0000A20C0000}"/>
    <cellStyle name="Style 1380 17 2" xfId="7447" xr:uid="{00000000-0005-0000-0000-0000A20C0000}"/>
    <cellStyle name="Style 1380 18" xfId="6311" xr:uid="{00000000-0005-0000-0000-0000A30C0000}"/>
    <cellStyle name="Style 1380 18 2" xfId="7589" xr:uid="{00000000-0005-0000-0000-0000A30C0000}"/>
    <cellStyle name="Style 1380 2" xfId="192" xr:uid="{00000000-0005-0000-0000-0000A40C0000}"/>
    <cellStyle name="Style 1380 2 10" xfId="2879" xr:uid="{00000000-0005-0000-0000-0000A50C0000}"/>
    <cellStyle name="Style 1380 2 10 2" xfId="4768" xr:uid="{00000000-0005-0000-0000-0000A60C0000}"/>
    <cellStyle name="Style 1380 2 11" xfId="3116" xr:uid="{00000000-0005-0000-0000-0000A70C0000}"/>
    <cellStyle name="Style 1380 2 11 2" xfId="5002" xr:uid="{00000000-0005-0000-0000-0000A80C0000}"/>
    <cellStyle name="Style 1380 2 12" xfId="5238" xr:uid="{00000000-0005-0000-0000-0000A90C0000}"/>
    <cellStyle name="Style 1380 2 12 2" xfId="6698" xr:uid="{00000000-0005-0000-0000-0000A90C0000}"/>
    <cellStyle name="Style 1380 2 13" xfId="5680" xr:uid="{00000000-0005-0000-0000-0000AA0C0000}"/>
    <cellStyle name="Style 1380 2 13 2" xfId="7100" xr:uid="{00000000-0005-0000-0000-0000AA0C0000}"/>
    <cellStyle name="Style 1380 2 14" xfId="5821" xr:uid="{00000000-0005-0000-0000-0000AB0C0000}"/>
    <cellStyle name="Style 1380 2 14 2" xfId="7241" xr:uid="{00000000-0005-0000-0000-0000AB0C0000}"/>
    <cellStyle name="Style 1380 2 15" xfId="6312" xr:uid="{00000000-0005-0000-0000-0000AC0C0000}"/>
    <cellStyle name="Style 1380 2 15 2" xfId="7590" xr:uid="{00000000-0005-0000-0000-0000AC0C0000}"/>
    <cellStyle name="Style 1380 2 2" xfId="426" xr:uid="{00000000-0005-0000-0000-0000AD0C0000}"/>
    <cellStyle name="Style 1380 2 2 2" xfId="899" xr:uid="{00000000-0005-0000-0000-0000AE0C0000}"/>
    <cellStyle name="Style 1380 2 2 3" xfId="8442" xr:uid="{CF86B44D-06CA-48C4-8E88-11C3A89F6887}"/>
    <cellStyle name="Style 1380 2 3" xfId="660" xr:uid="{00000000-0005-0000-0000-0000AF0C0000}"/>
    <cellStyle name="Style 1380 2 3 2" xfId="1133" xr:uid="{00000000-0005-0000-0000-0000B00C0000}"/>
    <cellStyle name="Style 1380 2 3 3" xfId="8443" xr:uid="{C7081884-CDC4-4016-B9C9-FEA058533FEB}"/>
    <cellStyle name="Style 1380 2 4" xfId="1373" xr:uid="{00000000-0005-0000-0000-0000B10C0000}"/>
    <cellStyle name="Style 1380 2 4 2" xfId="3357" xr:uid="{00000000-0005-0000-0000-0000B20C0000}"/>
    <cellStyle name="Style 1380 2 4 3" xfId="8444" xr:uid="{37DD1E74-21C8-4CCE-91D8-75A66A2FF245}"/>
    <cellStyle name="Style 1380 2 5" xfId="1668" xr:uid="{00000000-0005-0000-0000-0000B30C0000}"/>
    <cellStyle name="Style 1380 2 5 2" xfId="3595" xr:uid="{00000000-0005-0000-0000-0000B40C0000}"/>
    <cellStyle name="Style 1380 2 6" xfId="1919" xr:uid="{00000000-0005-0000-0000-0000B50C0000}"/>
    <cellStyle name="Style 1380 2 6 2" xfId="3829" xr:uid="{00000000-0005-0000-0000-0000B60C0000}"/>
    <cellStyle name="Style 1380 2 7" xfId="2163" xr:uid="{00000000-0005-0000-0000-0000B70C0000}"/>
    <cellStyle name="Style 1380 2 7 2" xfId="4064" xr:uid="{00000000-0005-0000-0000-0000B80C0000}"/>
    <cellStyle name="Style 1380 2 8" xfId="2398" xr:uid="{00000000-0005-0000-0000-0000B90C0000}"/>
    <cellStyle name="Style 1380 2 8 2" xfId="4299" xr:uid="{00000000-0005-0000-0000-0000BA0C0000}"/>
    <cellStyle name="Style 1380 2 9" xfId="2645" xr:uid="{00000000-0005-0000-0000-0000BB0C0000}"/>
    <cellStyle name="Style 1380 2 9 2" xfId="4534" xr:uid="{00000000-0005-0000-0000-0000BC0C0000}"/>
    <cellStyle name="Style 1380 3" xfId="425" xr:uid="{00000000-0005-0000-0000-0000BD0C0000}"/>
    <cellStyle name="Style 1380 3 2" xfId="898" xr:uid="{00000000-0005-0000-0000-0000BE0C0000}"/>
    <cellStyle name="Style 1380 3 2 2" xfId="8446" xr:uid="{3DE2C16C-B792-4621-8F0D-52667D33BD1D}"/>
    <cellStyle name="Style 1380 3 3" xfId="8445" xr:uid="{61F76BFA-FFDD-482F-8387-F33A447DD222}"/>
    <cellStyle name="Style 1380 4" xfId="659" xr:uid="{00000000-0005-0000-0000-0000BF0C0000}"/>
    <cellStyle name="Style 1380 4 2" xfId="1132" xr:uid="{00000000-0005-0000-0000-0000C00C0000}"/>
    <cellStyle name="Style 1380 4 3" xfId="8447" xr:uid="{0625DDAA-ABDD-49F2-90D9-EF16C28AF201}"/>
    <cellStyle name="Style 1380 5" xfId="1372" xr:uid="{00000000-0005-0000-0000-0000C10C0000}"/>
    <cellStyle name="Style 1380 5 2" xfId="3356" xr:uid="{00000000-0005-0000-0000-0000C20C0000}"/>
    <cellStyle name="Style 1380 6" xfId="1667" xr:uid="{00000000-0005-0000-0000-0000C30C0000}"/>
    <cellStyle name="Style 1380 6 2" xfId="3594" xr:uid="{00000000-0005-0000-0000-0000C40C0000}"/>
    <cellStyle name="Style 1380 7" xfId="1918" xr:uid="{00000000-0005-0000-0000-0000C50C0000}"/>
    <cellStyle name="Style 1380 7 2" xfId="3828" xr:uid="{00000000-0005-0000-0000-0000C60C0000}"/>
    <cellStyle name="Style 1380 8" xfId="2162" xr:uid="{00000000-0005-0000-0000-0000C70C0000}"/>
    <cellStyle name="Style 1380 8 2" xfId="4063" xr:uid="{00000000-0005-0000-0000-0000C80C0000}"/>
    <cellStyle name="Style 1380 9" xfId="2397" xr:uid="{00000000-0005-0000-0000-0000C90C0000}"/>
    <cellStyle name="Style 1380 9 2" xfId="4298" xr:uid="{00000000-0005-0000-0000-0000CA0C0000}"/>
    <cellStyle name="Style 1381" xfId="193" xr:uid="{00000000-0005-0000-0000-0000CB0C0000}"/>
    <cellStyle name="Style 1381 10" xfId="2646" xr:uid="{00000000-0005-0000-0000-0000CC0C0000}"/>
    <cellStyle name="Style 1381 10 2" xfId="4535" xr:uid="{00000000-0005-0000-0000-0000CD0C0000}"/>
    <cellStyle name="Style 1381 11" xfId="2880" xr:uid="{00000000-0005-0000-0000-0000CE0C0000}"/>
    <cellStyle name="Style 1381 11 2" xfId="4769" xr:uid="{00000000-0005-0000-0000-0000CF0C0000}"/>
    <cellStyle name="Style 1381 12" xfId="3117" xr:uid="{00000000-0005-0000-0000-0000D00C0000}"/>
    <cellStyle name="Style 1381 12 2" xfId="5003" xr:uid="{00000000-0005-0000-0000-0000D10C0000}"/>
    <cellStyle name="Style 1381 13" xfId="5239" xr:uid="{00000000-0005-0000-0000-0000D20C0000}"/>
    <cellStyle name="Style 1381 13 2" xfId="6699" xr:uid="{00000000-0005-0000-0000-0000D20C0000}"/>
    <cellStyle name="Style 1381 14" xfId="5474" xr:uid="{00000000-0005-0000-0000-0000D30C0000}"/>
    <cellStyle name="Style 1381 14 2" xfId="6898" xr:uid="{00000000-0005-0000-0000-0000D30C0000}"/>
    <cellStyle name="Style 1381 15" xfId="5681" xr:uid="{00000000-0005-0000-0000-0000D40C0000}"/>
    <cellStyle name="Style 1381 15 2" xfId="7101" xr:uid="{00000000-0005-0000-0000-0000D40C0000}"/>
    <cellStyle name="Style 1381 16" xfId="5822" xr:uid="{00000000-0005-0000-0000-0000D50C0000}"/>
    <cellStyle name="Style 1381 16 2" xfId="7242" xr:uid="{00000000-0005-0000-0000-0000D50C0000}"/>
    <cellStyle name="Style 1381 17" xfId="6028" xr:uid="{00000000-0005-0000-0000-0000D60C0000}"/>
    <cellStyle name="Style 1381 17 2" xfId="7448" xr:uid="{00000000-0005-0000-0000-0000D60C0000}"/>
    <cellStyle name="Style 1381 18" xfId="6313" xr:uid="{00000000-0005-0000-0000-0000D70C0000}"/>
    <cellStyle name="Style 1381 18 2" xfId="7591" xr:uid="{00000000-0005-0000-0000-0000D70C0000}"/>
    <cellStyle name="Style 1381 2" xfId="194" xr:uid="{00000000-0005-0000-0000-0000D80C0000}"/>
    <cellStyle name="Style 1381 2 10" xfId="2881" xr:uid="{00000000-0005-0000-0000-0000D90C0000}"/>
    <cellStyle name="Style 1381 2 10 2" xfId="4770" xr:uid="{00000000-0005-0000-0000-0000DA0C0000}"/>
    <cellStyle name="Style 1381 2 11" xfId="3118" xr:uid="{00000000-0005-0000-0000-0000DB0C0000}"/>
    <cellStyle name="Style 1381 2 11 2" xfId="5004" xr:uid="{00000000-0005-0000-0000-0000DC0C0000}"/>
    <cellStyle name="Style 1381 2 12" xfId="5240" xr:uid="{00000000-0005-0000-0000-0000DD0C0000}"/>
    <cellStyle name="Style 1381 2 12 2" xfId="6700" xr:uid="{00000000-0005-0000-0000-0000DD0C0000}"/>
    <cellStyle name="Style 1381 2 13" xfId="5682" xr:uid="{00000000-0005-0000-0000-0000DE0C0000}"/>
    <cellStyle name="Style 1381 2 13 2" xfId="7102" xr:uid="{00000000-0005-0000-0000-0000DE0C0000}"/>
    <cellStyle name="Style 1381 2 14" xfId="5823" xr:uid="{00000000-0005-0000-0000-0000DF0C0000}"/>
    <cellStyle name="Style 1381 2 14 2" xfId="7243" xr:uid="{00000000-0005-0000-0000-0000DF0C0000}"/>
    <cellStyle name="Style 1381 2 15" xfId="6314" xr:uid="{00000000-0005-0000-0000-0000E00C0000}"/>
    <cellStyle name="Style 1381 2 15 2" xfId="7592" xr:uid="{00000000-0005-0000-0000-0000E00C0000}"/>
    <cellStyle name="Style 1381 2 2" xfId="428" xr:uid="{00000000-0005-0000-0000-0000E10C0000}"/>
    <cellStyle name="Style 1381 2 2 2" xfId="901" xr:uid="{00000000-0005-0000-0000-0000E20C0000}"/>
    <cellStyle name="Style 1381 2 2 3" xfId="8448" xr:uid="{7C1BC9D3-803B-4FF3-8350-3F81A94AC2B2}"/>
    <cellStyle name="Style 1381 2 3" xfId="662" xr:uid="{00000000-0005-0000-0000-0000E30C0000}"/>
    <cellStyle name="Style 1381 2 3 2" xfId="1135" xr:uid="{00000000-0005-0000-0000-0000E40C0000}"/>
    <cellStyle name="Style 1381 2 3 3" xfId="8449" xr:uid="{C1ADD5BD-5149-4C81-AF4F-996D10F6C21F}"/>
    <cellStyle name="Style 1381 2 4" xfId="1375" xr:uid="{00000000-0005-0000-0000-0000E50C0000}"/>
    <cellStyle name="Style 1381 2 4 2" xfId="3359" xr:uid="{00000000-0005-0000-0000-0000E60C0000}"/>
    <cellStyle name="Style 1381 2 4 3" xfId="8450" xr:uid="{471A8B52-1DCA-4482-8207-2BE356145833}"/>
    <cellStyle name="Style 1381 2 5" xfId="1670" xr:uid="{00000000-0005-0000-0000-0000E70C0000}"/>
    <cellStyle name="Style 1381 2 5 2" xfId="3597" xr:uid="{00000000-0005-0000-0000-0000E80C0000}"/>
    <cellStyle name="Style 1381 2 6" xfId="1921" xr:uid="{00000000-0005-0000-0000-0000E90C0000}"/>
    <cellStyle name="Style 1381 2 6 2" xfId="3831" xr:uid="{00000000-0005-0000-0000-0000EA0C0000}"/>
    <cellStyle name="Style 1381 2 7" xfId="2165" xr:uid="{00000000-0005-0000-0000-0000EB0C0000}"/>
    <cellStyle name="Style 1381 2 7 2" xfId="4066" xr:uid="{00000000-0005-0000-0000-0000EC0C0000}"/>
    <cellStyle name="Style 1381 2 8" xfId="2400" xr:uid="{00000000-0005-0000-0000-0000ED0C0000}"/>
    <cellStyle name="Style 1381 2 8 2" xfId="4301" xr:uid="{00000000-0005-0000-0000-0000EE0C0000}"/>
    <cellStyle name="Style 1381 2 9" xfId="2647" xr:uid="{00000000-0005-0000-0000-0000EF0C0000}"/>
    <cellStyle name="Style 1381 2 9 2" xfId="4536" xr:uid="{00000000-0005-0000-0000-0000F00C0000}"/>
    <cellStyle name="Style 1381 3" xfId="427" xr:uid="{00000000-0005-0000-0000-0000F10C0000}"/>
    <cellStyle name="Style 1381 3 2" xfId="900" xr:uid="{00000000-0005-0000-0000-0000F20C0000}"/>
    <cellStyle name="Style 1381 3 2 2" xfId="8452" xr:uid="{0033877B-86E5-4C4A-BCAC-27CB97E186C9}"/>
    <cellStyle name="Style 1381 3 3" xfId="8451" xr:uid="{BE4539E0-0FE6-44C6-A403-3047F7758E1A}"/>
    <cellStyle name="Style 1381 4" xfId="661" xr:uid="{00000000-0005-0000-0000-0000F30C0000}"/>
    <cellStyle name="Style 1381 4 2" xfId="1134" xr:uid="{00000000-0005-0000-0000-0000F40C0000}"/>
    <cellStyle name="Style 1381 4 3" xfId="8453" xr:uid="{8573BCFC-A8BE-456C-B7FC-D6886909CB9F}"/>
    <cellStyle name="Style 1381 5" xfId="1374" xr:uid="{00000000-0005-0000-0000-0000F50C0000}"/>
    <cellStyle name="Style 1381 5 2" xfId="3358" xr:uid="{00000000-0005-0000-0000-0000F60C0000}"/>
    <cellStyle name="Style 1381 6" xfId="1669" xr:uid="{00000000-0005-0000-0000-0000F70C0000}"/>
    <cellStyle name="Style 1381 6 2" xfId="3596" xr:uid="{00000000-0005-0000-0000-0000F80C0000}"/>
    <cellStyle name="Style 1381 7" xfId="1920" xr:uid="{00000000-0005-0000-0000-0000F90C0000}"/>
    <cellStyle name="Style 1381 7 2" xfId="3830" xr:uid="{00000000-0005-0000-0000-0000FA0C0000}"/>
    <cellStyle name="Style 1381 8" xfId="2164" xr:uid="{00000000-0005-0000-0000-0000FB0C0000}"/>
    <cellStyle name="Style 1381 8 2" xfId="4065" xr:uid="{00000000-0005-0000-0000-0000FC0C0000}"/>
    <cellStyle name="Style 1381 9" xfId="2399" xr:uid="{00000000-0005-0000-0000-0000FD0C0000}"/>
    <cellStyle name="Style 1381 9 2" xfId="4300" xr:uid="{00000000-0005-0000-0000-0000FE0C0000}"/>
    <cellStyle name="Style 1382" xfId="195" xr:uid="{00000000-0005-0000-0000-0000FF0C0000}"/>
    <cellStyle name="Style 1382 10" xfId="2648" xr:uid="{00000000-0005-0000-0000-0000000D0000}"/>
    <cellStyle name="Style 1382 10 2" xfId="4537" xr:uid="{00000000-0005-0000-0000-0000010D0000}"/>
    <cellStyle name="Style 1382 11" xfId="2882" xr:uid="{00000000-0005-0000-0000-0000020D0000}"/>
    <cellStyle name="Style 1382 11 2" xfId="4771" xr:uid="{00000000-0005-0000-0000-0000030D0000}"/>
    <cellStyle name="Style 1382 12" xfId="3119" xr:uid="{00000000-0005-0000-0000-0000040D0000}"/>
    <cellStyle name="Style 1382 12 2" xfId="5005" xr:uid="{00000000-0005-0000-0000-0000050D0000}"/>
    <cellStyle name="Style 1382 13" xfId="5241" xr:uid="{00000000-0005-0000-0000-0000060D0000}"/>
    <cellStyle name="Style 1382 13 2" xfId="6701" xr:uid="{00000000-0005-0000-0000-0000060D0000}"/>
    <cellStyle name="Style 1382 14" xfId="5475" xr:uid="{00000000-0005-0000-0000-0000070D0000}"/>
    <cellStyle name="Style 1382 14 2" xfId="6899" xr:uid="{00000000-0005-0000-0000-0000070D0000}"/>
    <cellStyle name="Style 1382 15" xfId="5683" xr:uid="{00000000-0005-0000-0000-0000080D0000}"/>
    <cellStyle name="Style 1382 15 2" xfId="7103" xr:uid="{00000000-0005-0000-0000-0000080D0000}"/>
    <cellStyle name="Style 1382 16" xfId="5824" xr:uid="{00000000-0005-0000-0000-0000090D0000}"/>
    <cellStyle name="Style 1382 16 2" xfId="7244" xr:uid="{00000000-0005-0000-0000-0000090D0000}"/>
    <cellStyle name="Style 1382 17" xfId="6029" xr:uid="{00000000-0005-0000-0000-00000A0D0000}"/>
    <cellStyle name="Style 1382 17 2" xfId="7449" xr:uid="{00000000-0005-0000-0000-00000A0D0000}"/>
    <cellStyle name="Style 1382 18" xfId="6315" xr:uid="{00000000-0005-0000-0000-00000B0D0000}"/>
    <cellStyle name="Style 1382 18 2" xfId="7593" xr:uid="{00000000-0005-0000-0000-00000B0D0000}"/>
    <cellStyle name="Style 1382 2" xfId="196" xr:uid="{00000000-0005-0000-0000-00000C0D0000}"/>
    <cellStyle name="Style 1382 2 10" xfId="2883" xr:uid="{00000000-0005-0000-0000-00000D0D0000}"/>
    <cellStyle name="Style 1382 2 10 2" xfId="4772" xr:uid="{00000000-0005-0000-0000-00000E0D0000}"/>
    <cellStyle name="Style 1382 2 11" xfId="3120" xr:uid="{00000000-0005-0000-0000-00000F0D0000}"/>
    <cellStyle name="Style 1382 2 11 2" xfId="5006" xr:uid="{00000000-0005-0000-0000-0000100D0000}"/>
    <cellStyle name="Style 1382 2 12" xfId="5242" xr:uid="{00000000-0005-0000-0000-0000110D0000}"/>
    <cellStyle name="Style 1382 2 12 2" xfId="6702" xr:uid="{00000000-0005-0000-0000-0000110D0000}"/>
    <cellStyle name="Style 1382 2 13" xfId="5684" xr:uid="{00000000-0005-0000-0000-0000120D0000}"/>
    <cellStyle name="Style 1382 2 13 2" xfId="7104" xr:uid="{00000000-0005-0000-0000-0000120D0000}"/>
    <cellStyle name="Style 1382 2 14" xfId="5825" xr:uid="{00000000-0005-0000-0000-0000130D0000}"/>
    <cellStyle name="Style 1382 2 14 2" xfId="7245" xr:uid="{00000000-0005-0000-0000-0000130D0000}"/>
    <cellStyle name="Style 1382 2 15" xfId="6316" xr:uid="{00000000-0005-0000-0000-0000140D0000}"/>
    <cellStyle name="Style 1382 2 15 2" xfId="7594" xr:uid="{00000000-0005-0000-0000-0000140D0000}"/>
    <cellStyle name="Style 1382 2 2" xfId="430" xr:uid="{00000000-0005-0000-0000-0000150D0000}"/>
    <cellStyle name="Style 1382 2 2 2" xfId="903" xr:uid="{00000000-0005-0000-0000-0000160D0000}"/>
    <cellStyle name="Style 1382 2 2 3" xfId="8454" xr:uid="{07093CE2-A37B-4A37-8498-CD51917E9BE7}"/>
    <cellStyle name="Style 1382 2 3" xfId="664" xr:uid="{00000000-0005-0000-0000-0000170D0000}"/>
    <cellStyle name="Style 1382 2 3 2" xfId="1137" xr:uid="{00000000-0005-0000-0000-0000180D0000}"/>
    <cellStyle name="Style 1382 2 3 3" xfId="8455" xr:uid="{E23E1B37-5C0F-4B64-8B8F-1BD80D84F9B6}"/>
    <cellStyle name="Style 1382 2 4" xfId="1377" xr:uid="{00000000-0005-0000-0000-0000190D0000}"/>
    <cellStyle name="Style 1382 2 4 2" xfId="3361" xr:uid="{00000000-0005-0000-0000-00001A0D0000}"/>
    <cellStyle name="Style 1382 2 4 3" xfId="8456" xr:uid="{AF03AA9C-CB0A-47DA-AE06-5BD9BC7C11BF}"/>
    <cellStyle name="Style 1382 2 5" xfId="1672" xr:uid="{00000000-0005-0000-0000-00001B0D0000}"/>
    <cellStyle name="Style 1382 2 5 2" xfId="3599" xr:uid="{00000000-0005-0000-0000-00001C0D0000}"/>
    <cellStyle name="Style 1382 2 6" xfId="1923" xr:uid="{00000000-0005-0000-0000-00001D0D0000}"/>
    <cellStyle name="Style 1382 2 6 2" xfId="3833" xr:uid="{00000000-0005-0000-0000-00001E0D0000}"/>
    <cellStyle name="Style 1382 2 7" xfId="2167" xr:uid="{00000000-0005-0000-0000-00001F0D0000}"/>
    <cellStyle name="Style 1382 2 7 2" xfId="4068" xr:uid="{00000000-0005-0000-0000-0000200D0000}"/>
    <cellStyle name="Style 1382 2 8" xfId="2402" xr:uid="{00000000-0005-0000-0000-0000210D0000}"/>
    <cellStyle name="Style 1382 2 8 2" xfId="4303" xr:uid="{00000000-0005-0000-0000-0000220D0000}"/>
    <cellStyle name="Style 1382 2 9" xfId="2649" xr:uid="{00000000-0005-0000-0000-0000230D0000}"/>
    <cellStyle name="Style 1382 2 9 2" xfId="4538" xr:uid="{00000000-0005-0000-0000-0000240D0000}"/>
    <cellStyle name="Style 1382 3" xfId="429" xr:uid="{00000000-0005-0000-0000-0000250D0000}"/>
    <cellStyle name="Style 1382 3 2" xfId="902" xr:uid="{00000000-0005-0000-0000-0000260D0000}"/>
    <cellStyle name="Style 1382 3 2 2" xfId="8458" xr:uid="{5ADEEB8E-1096-466F-8B51-799E51463FBB}"/>
    <cellStyle name="Style 1382 3 3" xfId="8457" xr:uid="{3D599B6B-1ABA-4BB7-94FA-0E577DA17F4B}"/>
    <cellStyle name="Style 1382 4" xfId="663" xr:uid="{00000000-0005-0000-0000-0000270D0000}"/>
    <cellStyle name="Style 1382 4 2" xfId="1136" xr:uid="{00000000-0005-0000-0000-0000280D0000}"/>
    <cellStyle name="Style 1382 4 3" xfId="8459" xr:uid="{7EA94108-BBB3-4679-9DAB-895D1524707E}"/>
    <cellStyle name="Style 1382 5" xfId="1376" xr:uid="{00000000-0005-0000-0000-0000290D0000}"/>
    <cellStyle name="Style 1382 5 2" xfId="3360" xr:uid="{00000000-0005-0000-0000-00002A0D0000}"/>
    <cellStyle name="Style 1382 6" xfId="1671" xr:uid="{00000000-0005-0000-0000-00002B0D0000}"/>
    <cellStyle name="Style 1382 6 2" xfId="3598" xr:uid="{00000000-0005-0000-0000-00002C0D0000}"/>
    <cellStyle name="Style 1382 7" xfId="1922" xr:uid="{00000000-0005-0000-0000-00002D0D0000}"/>
    <cellStyle name="Style 1382 7 2" xfId="3832" xr:uid="{00000000-0005-0000-0000-00002E0D0000}"/>
    <cellStyle name="Style 1382 8" xfId="2166" xr:uid="{00000000-0005-0000-0000-00002F0D0000}"/>
    <cellStyle name="Style 1382 8 2" xfId="4067" xr:uid="{00000000-0005-0000-0000-0000300D0000}"/>
    <cellStyle name="Style 1382 9" xfId="2401" xr:uid="{00000000-0005-0000-0000-0000310D0000}"/>
    <cellStyle name="Style 1382 9 2" xfId="4302" xr:uid="{00000000-0005-0000-0000-0000320D0000}"/>
    <cellStyle name="Style 1383" xfId="197" xr:uid="{00000000-0005-0000-0000-0000330D0000}"/>
    <cellStyle name="Style 1383 10" xfId="2650" xr:uid="{00000000-0005-0000-0000-0000340D0000}"/>
    <cellStyle name="Style 1383 10 2" xfId="4539" xr:uid="{00000000-0005-0000-0000-0000350D0000}"/>
    <cellStyle name="Style 1383 11" xfId="2884" xr:uid="{00000000-0005-0000-0000-0000360D0000}"/>
    <cellStyle name="Style 1383 11 2" xfId="4773" xr:uid="{00000000-0005-0000-0000-0000370D0000}"/>
    <cellStyle name="Style 1383 12" xfId="3121" xr:uid="{00000000-0005-0000-0000-0000380D0000}"/>
    <cellStyle name="Style 1383 12 2" xfId="5007" xr:uid="{00000000-0005-0000-0000-0000390D0000}"/>
    <cellStyle name="Style 1383 13" xfId="5243" xr:uid="{00000000-0005-0000-0000-00003A0D0000}"/>
    <cellStyle name="Style 1383 13 2" xfId="6703" xr:uid="{00000000-0005-0000-0000-00003A0D0000}"/>
    <cellStyle name="Style 1383 14" xfId="5476" xr:uid="{00000000-0005-0000-0000-00003B0D0000}"/>
    <cellStyle name="Style 1383 14 2" xfId="6900" xr:uid="{00000000-0005-0000-0000-00003B0D0000}"/>
    <cellStyle name="Style 1383 15" xfId="5685" xr:uid="{00000000-0005-0000-0000-00003C0D0000}"/>
    <cellStyle name="Style 1383 15 2" xfId="7105" xr:uid="{00000000-0005-0000-0000-00003C0D0000}"/>
    <cellStyle name="Style 1383 16" xfId="5826" xr:uid="{00000000-0005-0000-0000-00003D0D0000}"/>
    <cellStyle name="Style 1383 16 2" xfId="7246" xr:uid="{00000000-0005-0000-0000-00003D0D0000}"/>
    <cellStyle name="Style 1383 17" xfId="6030" xr:uid="{00000000-0005-0000-0000-00003E0D0000}"/>
    <cellStyle name="Style 1383 17 2" xfId="7450" xr:uid="{00000000-0005-0000-0000-00003E0D0000}"/>
    <cellStyle name="Style 1383 18" xfId="6317" xr:uid="{00000000-0005-0000-0000-00003F0D0000}"/>
    <cellStyle name="Style 1383 18 2" xfId="7595" xr:uid="{00000000-0005-0000-0000-00003F0D0000}"/>
    <cellStyle name="Style 1383 2" xfId="198" xr:uid="{00000000-0005-0000-0000-0000400D0000}"/>
    <cellStyle name="Style 1383 2 10" xfId="2885" xr:uid="{00000000-0005-0000-0000-0000410D0000}"/>
    <cellStyle name="Style 1383 2 10 2" xfId="4774" xr:uid="{00000000-0005-0000-0000-0000420D0000}"/>
    <cellStyle name="Style 1383 2 11" xfId="3122" xr:uid="{00000000-0005-0000-0000-0000430D0000}"/>
    <cellStyle name="Style 1383 2 11 2" xfId="5008" xr:uid="{00000000-0005-0000-0000-0000440D0000}"/>
    <cellStyle name="Style 1383 2 12" xfId="5244" xr:uid="{00000000-0005-0000-0000-0000450D0000}"/>
    <cellStyle name="Style 1383 2 12 2" xfId="6704" xr:uid="{00000000-0005-0000-0000-0000450D0000}"/>
    <cellStyle name="Style 1383 2 13" xfId="5686" xr:uid="{00000000-0005-0000-0000-0000460D0000}"/>
    <cellStyle name="Style 1383 2 13 2" xfId="7106" xr:uid="{00000000-0005-0000-0000-0000460D0000}"/>
    <cellStyle name="Style 1383 2 14" xfId="5827" xr:uid="{00000000-0005-0000-0000-0000470D0000}"/>
    <cellStyle name="Style 1383 2 14 2" xfId="7247" xr:uid="{00000000-0005-0000-0000-0000470D0000}"/>
    <cellStyle name="Style 1383 2 15" xfId="6318" xr:uid="{00000000-0005-0000-0000-0000480D0000}"/>
    <cellStyle name="Style 1383 2 15 2" xfId="7596" xr:uid="{00000000-0005-0000-0000-0000480D0000}"/>
    <cellStyle name="Style 1383 2 2" xfId="432" xr:uid="{00000000-0005-0000-0000-0000490D0000}"/>
    <cellStyle name="Style 1383 2 2 2" xfId="905" xr:uid="{00000000-0005-0000-0000-00004A0D0000}"/>
    <cellStyle name="Style 1383 2 2 3" xfId="8460" xr:uid="{EAABA034-4E07-43BC-877D-46E1D6A28492}"/>
    <cellStyle name="Style 1383 2 3" xfId="666" xr:uid="{00000000-0005-0000-0000-00004B0D0000}"/>
    <cellStyle name="Style 1383 2 3 2" xfId="1139" xr:uid="{00000000-0005-0000-0000-00004C0D0000}"/>
    <cellStyle name="Style 1383 2 3 3" xfId="8461" xr:uid="{2081599F-6AF8-498E-A609-263FAFB469D1}"/>
    <cellStyle name="Style 1383 2 4" xfId="1379" xr:uid="{00000000-0005-0000-0000-00004D0D0000}"/>
    <cellStyle name="Style 1383 2 4 2" xfId="3363" xr:uid="{00000000-0005-0000-0000-00004E0D0000}"/>
    <cellStyle name="Style 1383 2 4 3" xfId="8462" xr:uid="{2B989873-1EBE-44C1-8ED8-8CB9CD1D0E41}"/>
    <cellStyle name="Style 1383 2 5" xfId="1674" xr:uid="{00000000-0005-0000-0000-00004F0D0000}"/>
    <cellStyle name="Style 1383 2 5 2" xfId="3601" xr:uid="{00000000-0005-0000-0000-0000500D0000}"/>
    <cellStyle name="Style 1383 2 6" xfId="1925" xr:uid="{00000000-0005-0000-0000-0000510D0000}"/>
    <cellStyle name="Style 1383 2 6 2" xfId="3835" xr:uid="{00000000-0005-0000-0000-0000520D0000}"/>
    <cellStyle name="Style 1383 2 7" xfId="2169" xr:uid="{00000000-0005-0000-0000-0000530D0000}"/>
    <cellStyle name="Style 1383 2 7 2" xfId="4070" xr:uid="{00000000-0005-0000-0000-0000540D0000}"/>
    <cellStyle name="Style 1383 2 8" xfId="2404" xr:uid="{00000000-0005-0000-0000-0000550D0000}"/>
    <cellStyle name="Style 1383 2 8 2" xfId="4305" xr:uid="{00000000-0005-0000-0000-0000560D0000}"/>
    <cellStyle name="Style 1383 2 9" xfId="2651" xr:uid="{00000000-0005-0000-0000-0000570D0000}"/>
    <cellStyle name="Style 1383 2 9 2" xfId="4540" xr:uid="{00000000-0005-0000-0000-0000580D0000}"/>
    <cellStyle name="Style 1383 3" xfId="431" xr:uid="{00000000-0005-0000-0000-0000590D0000}"/>
    <cellStyle name="Style 1383 3 2" xfId="904" xr:uid="{00000000-0005-0000-0000-00005A0D0000}"/>
    <cellStyle name="Style 1383 3 2 2" xfId="8464" xr:uid="{C694BBD2-04D7-491B-B78D-8CA9B9816278}"/>
    <cellStyle name="Style 1383 3 3" xfId="8463" xr:uid="{1EDEA286-08D4-4407-B835-870090B63C84}"/>
    <cellStyle name="Style 1383 4" xfId="665" xr:uid="{00000000-0005-0000-0000-00005B0D0000}"/>
    <cellStyle name="Style 1383 4 2" xfId="1138" xr:uid="{00000000-0005-0000-0000-00005C0D0000}"/>
    <cellStyle name="Style 1383 4 3" xfId="8465" xr:uid="{8D150134-3121-4EF7-9465-629A90D67039}"/>
    <cellStyle name="Style 1383 5" xfId="1378" xr:uid="{00000000-0005-0000-0000-00005D0D0000}"/>
    <cellStyle name="Style 1383 5 2" xfId="3362" xr:uid="{00000000-0005-0000-0000-00005E0D0000}"/>
    <cellStyle name="Style 1383 6" xfId="1673" xr:uid="{00000000-0005-0000-0000-00005F0D0000}"/>
    <cellStyle name="Style 1383 6 2" xfId="3600" xr:uid="{00000000-0005-0000-0000-0000600D0000}"/>
    <cellStyle name="Style 1383 7" xfId="1924" xr:uid="{00000000-0005-0000-0000-0000610D0000}"/>
    <cellStyle name="Style 1383 7 2" xfId="3834" xr:uid="{00000000-0005-0000-0000-0000620D0000}"/>
    <cellStyle name="Style 1383 8" xfId="2168" xr:uid="{00000000-0005-0000-0000-0000630D0000}"/>
    <cellStyle name="Style 1383 8 2" xfId="4069" xr:uid="{00000000-0005-0000-0000-0000640D0000}"/>
    <cellStyle name="Style 1383 9" xfId="2403" xr:uid="{00000000-0005-0000-0000-0000650D0000}"/>
    <cellStyle name="Style 1383 9 2" xfId="4304" xr:uid="{00000000-0005-0000-0000-0000660D0000}"/>
    <cellStyle name="Style 1384" xfId="199" xr:uid="{00000000-0005-0000-0000-0000670D0000}"/>
    <cellStyle name="Style 1384 10" xfId="2652" xr:uid="{00000000-0005-0000-0000-0000680D0000}"/>
    <cellStyle name="Style 1384 10 2" xfId="4541" xr:uid="{00000000-0005-0000-0000-0000690D0000}"/>
    <cellStyle name="Style 1384 11" xfId="2886" xr:uid="{00000000-0005-0000-0000-00006A0D0000}"/>
    <cellStyle name="Style 1384 11 2" xfId="4775" xr:uid="{00000000-0005-0000-0000-00006B0D0000}"/>
    <cellStyle name="Style 1384 12" xfId="3123" xr:uid="{00000000-0005-0000-0000-00006C0D0000}"/>
    <cellStyle name="Style 1384 12 2" xfId="5009" xr:uid="{00000000-0005-0000-0000-00006D0D0000}"/>
    <cellStyle name="Style 1384 13" xfId="5245" xr:uid="{00000000-0005-0000-0000-00006E0D0000}"/>
    <cellStyle name="Style 1384 13 2" xfId="6705" xr:uid="{00000000-0005-0000-0000-00006E0D0000}"/>
    <cellStyle name="Style 1384 14" xfId="5477" xr:uid="{00000000-0005-0000-0000-00006F0D0000}"/>
    <cellStyle name="Style 1384 14 2" xfId="6901" xr:uid="{00000000-0005-0000-0000-00006F0D0000}"/>
    <cellStyle name="Style 1384 15" xfId="5687" xr:uid="{00000000-0005-0000-0000-0000700D0000}"/>
    <cellStyle name="Style 1384 15 2" xfId="7107" xr:uid="{00000000-0005-0000-0000-0000700D0000}"/>
    <cellStyle name="Style 1384 16" xfId="5828" xr:uid="{00000000-0005-0000-0000-0000710D0000}"/>
    <cellStyle name="Style 1384 16 2" xfId="7248" xr:uid="{00000000-0005-0000-0000-0000710D0000}"/>
    <cellStyle name="Style 1384 17" xfId="6031" xr:uid="{00000000-0005-0000-0000-0000720D0000}"/>
    <cellStyle name="Style 1384 17 2" xfId="7451" xr:uid="{00000000-0005-0000-0000-0000720D0000}"/>
    <cellStyle name="Style 1384 18" xfId="6319" xr:uid="{00000000-0005-0000-0000-0000730D0000}"/>
    <cellStyle name="Style 1384 18 2" xfId="7597" xr:uid="{00000000-0005-0000-0000-0000730D0000}"/>
    <cellStyle name="Style 1384 2" xfId="200" xr:uid="{00000000-0005-0000-0000-0000740D0000}"/>
    <cellStyle name="Style 1384 2 10" xfId="2887" xr:uid="{00000000-0005-0000-0000-0000750D0000}"/>
    <cellStyle name="Style 1384 2 10 2" xfId="4776" xr:uid="{00000000-0005-0000-0000-0000760D0000}"/>
    <cellStyle name="Style 1384 2 11" xfId="3124" xr:uid="{00000000-0005-0000-0000-0000770D0000}"/>
    <cellStyle name="Style 1384 2 11 2" xfId="5010" xr:uid="{00000000-0005-0000-0000-0000780D0000}"/>
    <cellStyle name="Style 1384 2 12" xfId="5246" xr:uid="{00000000-0005-0000-0000-0000790D0000}"/>
    <cellStyle name="Style 1384 2 12 2" xfId="6706" xr:uid="{00000000-0005-0000-0000-0000790D0000}"/>
    <cellStyle name="Style 1384 2 13" xfId="5688" xr:uid="{00000000-0005-0000-0000-00007A0D0000}"/>
    <cellStyle name="Style 1384 2 13 2" xfId="7108" xr:uid="{00000000-0005-0000-0000-00007A0D0000}"/>
    <cellStyle name="Style 1384 2 14" xfId="5829" xr:uid="{00000000-0005-0000-0000-00007B0D0000}"/>
    <cellStyle name="Style 1384 2 14 2" xfId="7249" xr:uid="{00000000-0005-0000-0000-00007B0D0000}"/>
    <cellStyle name="Style 1384 2 15" xfId="6320" xr:uid="{00000000-0005-0000-0000-00007C0D0000}"/>
    <cellStyle name="Style 1384 2 15 2" xfId="7598" xr:uid="{00000000-0005-0000-0000-00007C0D0000}"/>
    <cellStyle name="Style 1384 2 2" xfId="434" xr:uid="{00000000-0005-0000-0000-00007D0D0000}"/>
    <cellStyle name="Style 1384 2 2 2" xfId="907" xr:uid="{00000000-0005-0000-0000-00007E0D0000}"/>
    <cellStyle name="Style 1384 2 2 3" xfId="8466" xr:uid="{EB9B6B78-5C30-4F94-83A8-64E13A9F29A6}"/>
    <cellStyle name="Style 1384 2 3" xfId="668" xr:uid="{00000000-0005-0000-0000-00007F0D0000}"/>
    <cellStyle name="Style 1384 2 3 2" xfId="1141" xr:uid="{00000000-0005-0000-0000-0000800D0000}"/>
    <cellStyle name="Style 1384 2 3 3" xfId="8467" xr:uid="{C90335B5-865B-45C5-AB04-2E5F5B14BEC3}"/>
    <cellStyle name="Style 1384 2 4" xfId="1381" xr:uid="{00000000-0005-0000-0000-0000810D0000}"/>
    <cellStyle name="Style 1384 2 4 2" xfId="3365" xr:uid="{00000000-0005-0000-0000-0000820D0000}"/>
    <cellStyle name="Style 1384 2 4 3" xfId="8468" xr:uid="{541E0BAC-BAF4-49AA-AB6A-EBA193594A88}"/>
    <cellStyle name="Style 1384 2 5" xfId="1676" xr:uid="{00000000-0005-0000-0000-0000830D0000}"/>
    <cellStyle name="Style 1384 2 5 2" xfId="3603" xr:uid="{00000000-0005-0000-0000-0000840D0000}"/>
    <cellStyle name="Style 1384 2 6" xfId="1927" xr:uid="{00000000-0005-0000-0000-0000850D0000}"/>
    <cellStyle name="Style 1384 2 6 2" xfId="3837" xr:uid="{00000000-0005-0000-0000-0000860D0000}"/>
    <cellStyle name="Style 1384 2 7" xfId="2171" xr:uid="{00000000-0005-0000-0000-0000870D0000}"/>
    <cellStyle name="Style 1384 2 7 2" xfId="4072" xr:uid="{00000000-0005-0000-0000-0000880D0000}"/>
    <cellStyle name="Style 1384 2 8" xfId="2406" xr:uid="{00000000-0005-0000-0000-0000890D0000}"/>
    <cellStyle name="Style 1384 2 8 2" xfId="4307" xr:uid="{00000000-0005-0000-0000-00008A0D0000}"/>
    <cellStyle name="Style 1384 2 9" xfId="2653" xr:uid="{00000000-0005-0000-0000-00008B0D0000}"/>
    <cellStyle name="Style 1384 2 9 2" xfId="4542" xr:uid="{00000000-0005-0000-0000-00008C0D0000}"/>
    <cellStyle name="Style 1384 3" xfId="433" xr:uid="{00000000-0005-0000-0000-00008D0D0000}"/>
    <cellStyle name="Style 1384 3 2" xfId="906" xr:uid="{00000000-0005-0000-0000-00008E0D0000}"/>
    <cellStyle name="Style 1384 3 2 2" xfId="8470" xr:uid="{3C3BB988-D05A-4EA1-AF85-1335AC9831F4}"/>
    <cellStyle name="Style 1384 3 3" xfId="8469" xr:uid="{CBE5E447-577F-4352-8440-334A30C7BDE1}"/>
    <cellStyle name="Style 1384 4" xfId="667" xr:uid="{00000000-0005-0000-0000-00008F0D0000}"/>
    <cellStyle name="Style 1384 4 2" xfId="1140" xr:uid="{00000000-0005-0000-0000-0000900D0000}"/>
    <cellStyle name="Style 1384 4 3" xfId="8471" xr:uid="{2BD8B570-2E72-478F-9DA8-C3235B996621}"/>
    <cellStyle name="Style 1384 5" xfId="1380" xr:uid="{00000000-0005-0000-0000-0000910D0000}"/>
    <cellStyle name="Style 1384 5 2" xfId="3364" xr:uid="{00000000-0005-0000-0000-0000920D0000}"/>
    <cellStyle name="Style 1384 6" xfId="1675" xr:uid="{00000000-0005-0000-0000-0000930D0000}"/>
    <cellStyle name="Style 1384 6 2" xfId="3602" xr:uid="{00000000-0005-0000-0000-0000940D0000}"/>
    <cellStyle name="Style 1384 7" xfId="1926" xr:uid="{00000000-0005-0000-0000-0000950D0000}"/>
    <cellStyle name="Style 1384 7 2" xfId="3836" xr:uid="{00000000-0005-0000-0000-0000960D0000}"/>
    <cellStyle name="Style 1384 8" xfId="2170" xr:uid="{00000000-0005-0000-0000-0000970D0000}"/>
    <cellStyle name="Style 1384 8 2" xfId="4071" xr:uid="{00000000-0005-0000-0000-0000980D0000}"/>
    <cellStyle name="Style 1384 9" xfId="2405" xr:uid="{00000000-0005-0000-0000-0000990D0000}"/>
    <cellStyle name="Style 1384 9 2" xfId="4306" xr:uid="{00000000-0005-0000-0000-00009A0D0000}"/>
    <cellStyle name="Style 1385" xfId="201" xr:uid="{00000000-0005-0000-0000-00009B0D0000}"/>
    <cellStyle name="Style 1385 10" xfId="2888" xr:uid="{00000000-0005-0000-0000-00009C0D0000}"/>
    <cellStyle name="Style 1385 10 2" xfId="4777" xr:uid="{00000000-0005-0000-0000-00009D0D0000}"/>
    <cellStyle name="Style 1385 11" xfId="3125" xr:uid="{00000000-0005-0000-0000-00009E0D0000}"/>
    <cellStyle name="Style 1385 11 2" xfId="5011" xr:uid="{00000000-0005-0000-0000-00009F0D0000}"/>
    <cellStyle name="Style 1385 12" xfId="5247" xr:uid="{00000000-0005-0000-0000-0000A00D0000}"/>
    <cellStyle name="Style 1385 12 2" xfId="6707" xr:uid="{00000000-0005-0000-0000-0000A00D0000}"/>
    <cellStyle name="Style 1385 13" xfId="5478" xr:uid="{00000000-0005-0000-0000-0000A10D0000}"/>
    <cellStyle name="Style 1385 13 2" xfId="6902" xr:uid="{00000000-0005-0000-0000-0000A10D0000}"/>
    <cellStyle name="Style 1385 14" xfId="5689" xr:uid="{00000000-0005-0000-0000-0000A20D0000}"/>
    <cellStyle name="Style 1385 14 2" xfId="7109" xr:uid="{00000000-0005-0000-0000-0000A20D0000}"/>
    <cellStyle name="Style 1385 15" xfId="5830" xr:uid="{00000000-0005-0000-0000-0000A30D0000}"/>
    <cellStyle name="Style 1385 15 2" xfId="7250" xr:uid="{00000000-0005-0000-0000-0000A30D0000}"/>
    <cellStyle name="Style 1385 16" xfId="6032" xr:uid="{00000000-0005-0000-0000-0000A40D0000}"/>
    <cellStyle name="Style 1385 16 2" xfId="7452" xr:uid="{00000000-0005-0000-0000-0000A40D0000}"/>
    <cellStyle name="Style 1385 17" xfId="6321" xr:uid="{00000000-0005-0000-0000-0000A50D0000}"/>
    <cellStyle name="Style 1385 17 2" xfId="7599" xr:uid="{00000000-0005-0000-0000-0000A50D0000}"/>
    <cellStyle name="Style 1385 2" xfId="435" xr:uid="{00000000-0005-0000-0000-0000A60D0000}"/>
    <cellStyle name="Style 1385 2 2" xfId="908" xr:uid="{00000000-0005-0000-0000-0000A70D0000}"/>
    <cellStyle name="Style 1385 2 2 2" xfId="8473" xr:uid="{DAFA6B6B-4480-47AC-B0F4-FD3E9D515C34}"/>
    <cellStyle name="Style 1385 2 3" xfId="8472" xr:uid="{3898EFB0-BFE7-4D77-A19E-ACB546FF3EE6}"/>
    <cellStyle name="Style 1385 3" xfId="669" xr:uid="{00000000-0005-0000-0000-0000A80D0000}"/>
    <cellStyle name="Style 1385 3 2" xfId="1142" xr:uid="{00000000-0005-0000-0000-0000A90D0000}"/>
    <cellStyle name="Style 1385 3 3" xfId="8474" xr:uid="{07FCC0D4-D574-47FD-A657-DBE402B2C7D7}"/>
    <cellStyle name="Style 1385 4" xfId="1382" xr:uid="{00000000-0005-0000-0000-0000AA0D0000}"/>
    <cellStyle name="Style 1385 4 2" xfId="3366" xr:uid="{00000000-0005-0000-0000-0000AB0D0000}"/>
    <cellStyle name="Style 1385 5" xfId="1677" xr:uid="{00000000-0005-0000-0000-0000AC0D0000}"/>
    <cellStyle name="Style 1385 5 2" xfId="3604" xr:uid="{00000000-0005-0000-0000-0000AD0D0000}"/>
    <cellStyle name="Style 1385 6" xfId="1928" xr:uid="{00000000-0005-0000-0000-0000AE0D0000}"/>
    <cellStyle name="Style 1385 6 2" xfId="3838" xr:uid="{00000000-0005-0000-0000-0000AF0D0000}"/>
    <cellStyle name="Style 1385 7" xfId="2172" xr:uid="{00000000-0005-0000-0000-0000B00D0000}"/>
    <cellStyle name="Style 1385 7 2" xfId="4073" xr:uid="{00000000-0005-0000-0000-0000B10D0000}"/>
    <cellStyle name="Style 1385 8" xfId="2407" xr:uid="{00000000-0005-0000-0000-0000B20D0000}"/>
    <cellStyle name="Style 1385 8 2" xfId="4308" xr:uid="{00000000-0005-0000-0000-0000B30D0000}"/>
    <cellStyle name="Style 1385 9" xfId="2654" xr:uid="{00000000-0005-0000-0000-0000B40D0000}"/>
    <cellStyle name="Style 1385 9 2" xfId="4543" xr:uid="{00000000-0005-0000-0000-0000B50D0000}"/>
    <cellStyle name="Style 1386" xfId="202" xr:uid="{00000000-0005-0000-0000-0000B60D0000}"/>
    <cellStyle name="Style 1386 10" xfId="2889" xr:uid="{00000000-0005-0000-0000-0000B70D0000}"/>
    <cellStyle name="Style 1386 10 2" xfId="4778" xr:uid="{00000000-0005-0000-0000-0000B80D0000}"/>
    <cellStyle name="Style 1386 11" xfId="3126" xr:uid="{00000000-0005-0000-0000-0000B90D0000}"/>
    <cellStyle name="Style 1386 11 2" xfId="5012" xr:uid="{00000000-0005-0000-0000-0000BA0D0000}"/>
    <cellStyle name="Style 1386 12" xfId="5248" xr:uid="{00000000-0005-0000-0000-0000BB0D0000}"/>
    <cellStyle name="Style 1386 12 2" xfId="6708" xr:uid="{00000000-0005-0000-0000-0000BB0D0000}"/>
    <cellStyle name="Style 1386 13" xfId="5479" xr:uid="{00000000-0005-0000-0000-0000BC0D0000}"/>
    <cellStyle name="Style 1386 13 2" xfId="6903" xr:uid="{00000000-0005-0000-0000-0000BC0D0000}"/>
    <cellStyle name="Style 1386 14" xfId="5690" xr:uid="{00000000-0005-0000-0000-0000BD0D0000}"/>
    <cellStyle name="Style 1386 14 2" xfId="7110" xr:uid="{00000000-0005-0000-0000-0000BD0D0000}"/>
    <cellStyle name="Style 1386 15" xfId="5831" xr:uid="{00000000-0005-0000-0000-0000BE0D0000}"/>
    <cellStyle name="Style 1386 15 2" xfId="7251" xr:uid="{00000000-0005-0000-0000-0000BE0D0000}"/>
    <cellStyle name="Style 1386 16" xfId="6033" xr:uid="{00000000-0005-0000-0000-0000BF0D0000}"/>
    <cellStyle name="Style 1386 16 2" xfId="7453" xr:uid="{00000000-0005-0000-0000-0000BF0D0000}"/>
    <cellStyle name="Style 1386 17" xfId="6322" xr:uid="{00000000-0005-0000-0000-0000C00D0000}"/>
    <cellStyle name="Style 1386 17 2" xfId="7600" xr:uid="{00000000-0005-0000-0000-0000C00D0000}"/>
    <cellStyle name="Style 1386 2" xfId="436" xr:uid="{00000000-0005-0000-0000-0000C10D0000}"/>
    <cellStyle name="Style 1386 2 2" xfId="909" xr:uid="{00000000-0005-0000-0000-0000C20D0000}"/>
    <cellStyle name="Style 1386 2 2 2" xfId="8476" xr:uid="{DB9CA258-337E-422E-961C-62252D5F7832}"/>
    <cellStyle name="Style 1386 2 3" xfId="8475" xr:uid="{DF164549-5721-4D18-AF78-12A21A4D4FCB}"/>
    <cellStyle name="Style 1386 3" xfId="670" xr:uid="{00000000-0005-0000-0000-0000C30D0000}"/>
    <cellStyle name="Style 1386 3 2" xfId="1143" xr:uid="{00000000-0005-0000-0000-0000C40D0000}"/>
    <cellStyle name="Style 1386 3 3" xfId="8477" xr:uid="{16C99CB6-2BFE-4BD0-A891-E01936292EFB}"/>
    <cellStyle name="Style 1386 4" xfId="1383" xr:uid="{00000000-0005-0000-0000-0000C50D0000}"/>
    <cellStyle name="Style 1386 4 2" xfId="3367" xr:uid="{00000000-0005-0000-0000-0000C60D0000}"/>
    <cellStyle name="Style 1386 5" xfId="1678" xr:uid="{00000000-0005-0000-0000-0000C70D0000}"/>
    <cellStyle name="Style 1386 5 2" xfId="3605" xr:uid="{00000000-0005-0000-0000-0000C80D0000}"/>
    <cellStyle name="Style 1386 6" xfId="1929" xr:uid="{00000000-0005-0000-0000-0000C90D0000}"/>
    <cellStyle name="Style 1386 6 2" xfId="3839" xr:uid="{00000000-0005-0000-0000-0000CA0D0000}"/>
    <cellStyle name="Style 1386 7" xfId="2173" xr:uid="{00000000-0005-0000-0000-0000CB0D0000}"/>
    <cellStyle name="Style 1386 7 2" xfId="4074" xr:uid="{00000000-0005-0000-0000-0000CC0D0000}"/>
    <cellStyle name="Style 1386 8" xfId="2408" xr:uid="{00000000-0005-0000-0000-0000CD0D0000}"/>
    <cellStyle name="Style 1386 8 2" xfId="4309" xr:uid="{00000000-0005-0000-0000-0000CE0D0000}"/>
    <cellStyle name="Style 1386 9" xfId="2655" xr:uid="{00000000-0005-0000-0000-0000CF0D0000}"/>
    <cellStyle name="Style 1386 9 2" xfId="4544" xr:uid="{00000000-0005-0000-0000-0000D00D0000}"/>
    <cellStyle name="Style 1417" xfId="8478" xr:uid="{302DB531-3CEB-4868-9FB4-E056D4A8C71F}"/>
    <cellStyle name="Style 1418" xfId="8479" xr:uid="{8DADEAAB-1CD5-42F6-92C4-3743F453E746}"/>
    <cellStyle name="Style 1419" xfId="8480" xr:uid="{C40C4FD2-EAB8-4F0F-9790-28A2391DEB08}"/>
    <cellStyle name="Style 1420" xfId="8481" xr:uid="{D0F54BD0-ACE8-40D6-99F4-5252200E84AE}"/>
    <cellStyle name="Style 1421" xfId="8482" xr:uid="{F8394668-9151-4275-81AB-5A09BE5D0C1B}"/>
    <cellStyle name="Style 1422" xfId="8483" xr:uid="{D76D71B8-E4AF-42B0-9621-15263207F3C6}"/>
    <cellStyle name="Style 1423" xfId="8484" xr:uid="{058BCD0F-B79A-4DF7-BA90-5D37EA1C2AF1}"/>
    <cellStyle name="Style 1424" xfId="8485" xr:uid="{D21F9BBA-21F2-42DD-B3BC-75305DE7E96E}"/>
    <cellStyle name="Style 1425" xfId="8486" xr:uid="{C3589D61-6629-44BD-B2CF-26BEEEC5A5F6}"/>
    <cellStyle name="Style 1426" xfId="8487" xr:uid="{9E8775F7-A161-4A2D-94A7-C0AC5896C433}"/>
    <cellStyle name="Style 1427" xfId="8488" xr:uid="{18472DEA-B95C-4156-97D7-C0467C1DA7E5}"/>
    <cellStyle name="Style 1428" xfId="8489" xr:uid="{C659A1B3-B355-4095-9E65-83618E4BE831}"/>
    <cellStyle name="Style 1429" xfId="8490" xr:uid="{38F182F6-A5FF-40D0-980D-FAB8A6530085}"/>
    <cellStyle name="Style 1430" xfId="8491" xr:uid="{9E1C4D23-FFAA-4F0E-8710-4100A0056EF7}"/>
    <cellStyle name="Style 1431" xfId="8492" xr:uid="{B610F5DA-5A65-4031-989C-D25DB0533AAF}"/>
    <cellStyle name="Style 1432" xfId="8493" xr:uid="{F748A698-AE0E-4EAC-95D3-A8C69A02DE16}"/>
    <cellStyle name="Style 1433" xfId="8494" xr:uid="{22602494-4340-43D1-A8B4-BA2E445F0998}"/>
    <cellStyle name="Style 1434" xfId="8495" xr:uid="{D0FC0E38-5628-4050-8C2C-59D4340C4B23}"/>
    <cellStyle name="Style 1435" xfId="8496" xr:uid="{69D7DEC5-5A80-433B-AAA8-3E3C771AF2B2}"/>
    <cellStyle name="Style 1436" xfId="8497" xr:uid="{9611560F-9142-4D1B-B1D3-1BACBEDACB47}"/>
    <cellStyle name="Style 1437" xfId="8498" xr:uid="{F579ED33-BA06-4B5A-A993-9F834572D376}"/>
    <cellStyle name="Style 1438" xfId="8499" xr:uid="{05238D87-B8F2-4AB7-A0E7-4F2D3729FEE9}"/>
    <cellStyle name="Style 1439" xfId="8500" xr:uid="{DF522808-2CB1-4DBF-BB02-459BFF33C421}"/>
    <cellStyle name="Style 1440" xfId="8501" xr:uid="{D39D0536-636C-499A-892A-A4FF48178889}"/>
    <cellStyle name="Style 1556" xfId="203" xr:uid="{00000000-0005-0000-0000-0000D10D0000}"/>
    <cellStyle name="Style 1556 10" xfId="2890" xr:uid="{00000000-0005-0000-0000-0000D20D0000}"/>
    <cellStyle name="Style 1556 10 2" xfId="4779" xr:uid="{00000000-0005-0000-0000-0000D30D0000}"/>
    <cellStyle name="Style 1556 11" xfId="3127" xr:uid="{00000000-0005-0000-0000-0000D40D0000}"/>
    <cellStyle name="Style 1556 11 2" xfId="5013" xr:uid="{00000000-0005-0000-0000-0000D50D0000}"/>
    <cellStyle name="Style 1556 12" xfId="5249" xr:uid="{00000000-0005-0000-0000-0000D60D0000}"/>
    <cellStyle name="Style 1556 12 2" xfId="6709" xr:uid="{00000000-0005-0000-0000-0000D60D0000}"/>
    <cellStyle name="Style 1556 13" xfId="5480" xr:uid="{00000000-0005-0000-0000-0000D70D0000}"/>
    <cellStyle name="Style 1556 13 2" xfId="6904" xr:uid="{00000000-0005-0000-0000-0000D70D0000}"/>
    <cellStyle name="Style 1556 14" xfId="5832" xr:uid="{00000000-0005-0000-0000-0000D80D0000}"/>
    <cellStyle name="Style 1556 14 2" xfId="7252" xr:uid="{00000000-0005-0000-0000-0000D80D0000}"/>
    <cellStyle name="Style 1556 15" xfId="6323" xr:uid="{00000000-0005-0000-0000-0000D90D0000}"/>
    <cellStyle name="Style 1556 15 2" xfId="7601" xr:uid="{00000000-0005-0000-0000-0000D90D0000}"/>
    <cellStyle name="Style 1556 2" xfId="437" xr:uid="{00000000-0005-0000-0000-0000DA0D0000}"/>
    <cellStyle name="Style 1556 2 2" xfId="910" xr:uid="{00000000-0005-0000-0000-0000DB0D0000}"/>
    <cellStyle name="Style 1556 2 2 2" xfId="8503" xr:uid="{CD368641-51F2-43C0-8C64-7F1CB7C95D18}"/>
    <cellStyle name="Style 1556 2 3" xfId="8502" xr:uid="{D41FEBF1-0C0C-4F23-928A-A3BC9C829E58}"/>
    <cellStyle name="Style 1556 3" xfId="671" xr:uid="{00000000-0005-0000-0000-0000DC0D0000}"/>
    <cellStyle name="Style 1556 3 2" xfId="1144" xr:uid="{00000000-0005-0000-0000-0000DD0D0000}"/>
    <cellStyle name="Style 1556 3 3" xfId="8504" xr:uid="{E2E2BC31-70F0-4327-B905-1EAB4B0DBDBA}"/>
    <cellStyle name="Style 1556 4" xfId="1384" xr:uid="{00000000-0005-0000-0000-0000DE0D0000}"/>
    <cellStyle name="Style 1556 4 2" xfId="3368" xr:uid="{00000000-0005-0000-0000-0000DF0D0000}"/>
    <cellStyle name="Style 1556 5" xfId="1679" xr:uid="{00000000-0005-0000-0000-0000E00D0000}"/>
    <cellStyle name="Style 1556 5 2" xfId="3606" xr:uid="{00000000-0005-0000-0000-0000E10D0000}"/>
    <cellStyle name="Style 1556 6" xfId="1930" xr:uid="{00000000-0005-0000-0000-0000E20D0000}"/>
    <cellStyle name="Style 1556 6 2" xfId="3840" xr:uid="{00000000-0005-0000-0000-0000E30D0000}"/>
    <cellStyle name="Style 1556 7" xfId="2174" xr:uid="{00000000-0005-0000-0000-0000E40D0000}"/>
    <cellStyle name="Style 1556 7 2" xfId="4075" xr:uid="{00000000-0005-0000-0000-0000E50D0000}"/>
    <cellStyle name="Style 1556 8" xfId="2409" xr:uid="{00000000-0005-0000-0000-0000E60D0000}"/>
    <cellStyle name="Style 1556 8 2" xfId="4310" xr:uid="{00000000-0005-0000-0000-0000E70D0000}"/>
    <cellStyle name="Style 1556 9" xfId="2656" xr:uid="{00000000-0005-0000-0000-0000E80D0000}"/>
    <cellStyle name="Style 1556 9 2" xfId="4545" xr:uid="{00000000-0005-0000-0000-0000E90D0000}"/>
    <cellStyle name="Style 1608" xfId="6060" xr:uid="{00000000-0005-0000-0000-0000EA0D0000}"/>
    <cellStyle name="Style 1608 2" xfId="7480" xr:uid="{00000000-0005-0000-0000-0000EA0D0000}"/>
    <cellStyle name="Style 1614" xfId="6061" xr:uid="{00000000-0005-0000-0000-0000EB0D0000}"/>
    <cellStyle name="Style 1614 2" xfId="7481" xr:uid="{00000000-0005-0000-0000-0000EB0D0000}"/>
    <cellStyle name="Style 1616" xfId="5600" xr:uid="{00000000-0005-0000-0000-0000EC0D0000}"/>
    <cellStyle name="Style 1616 2" xfId="7020" xr:uid="{00000000-0005-0000-0000-0000EC0D0000}"/>
    <cellStyle name="Style 1618" xfId="6062" xr:uid="{00000000-0005-0000-0000-0000ED0D0000}"/>
    <cellStyle name="Style 1618 2" xfId="7482" xr:uid="{00000000-0005-0000-0000-0000ED0D0000}"/>
    <cellStyle name="Style 1620" xfId="8505" xr:uid="{1A4CAE2D-F7CF-40FC-AF8F-ACF7F7AD936D}"/>
    <cellStyle name="Style 1622" xfId="5601" xr:uid="{00000000-0005-0000-0000-0000EE0D0000}"/>
    <cellStyle name="Style 1622 2" xfId="6063" xr:uid="{00000000-0005-0000-0000-0000EF0D0000}"/>
    <cellStyle name="Style 1622 2 2" xfId="7483" xr:uid="{00000000-0005-0000-0000-0000EF0D0000}"/>
    <cellStyle name="Style 1622 3" xfId="7021" xr:uid="{00000000-0005-0000-0000-0000EE0D0000}"/>
    <cellStyle name="Style 1623" xfId="8506" xr:uid="{76B4868B-CB29-4D00-8199-B1B3E236B178}"/>
    <cellStyle name="Style 1626" xfId="5602" xr:uid="{00000000-0005-0000-0000-0000F00D0000}"/>
    <cellStyle name="Style 1626 2" xfId="7022" xr:uid="{00000000-0005-0000-0000-0000F00D0000}"/>
    <cellStyle name="Style 1626 3" xfId="8507" xr:uid="{F0945157-8096-4C1C-8EB2-34F74B612D4A}"/>
    <cellStyle name="Style 1629" xfId="8508" xr:uid="{53C949B4-F504-41EA-9DC3-D66EEB422020}"/>
    <cellStyle name="Style 1630" xfId="5603" xr:uid="{00000000-0005-0000-0000-0000F10D0000}"/>
    <cellStyle name="Style 1630 2" xfId="7023" xr:uid="{00000000-0005-0000-0000-0000F10D0000}"/>
    <cellStyle name="Style 1630 3" xfId="8509" xr:uid="{8C91EFC6-45FD-4889-980B-A97473F32555}"/>
    <cellStyle name="Style 1633" xfId="8510" xr:uid="{341E2A75-F516-4F8C-8DE8-1B04E163F6CE}"/>
    <cellStyle name="Style 1634" xfId="8511" xr:uid="{5EBB66CE-F2A3-4C1A-A6F6-3B10AA212037}"/>
    <cellStyle name="Style 1636" xfId="8512" xr:uid="{912CD538-7CA4-4A78-9960-C0E0507D6EA1}"/>
    <cellStyle name="Style 1637" xfId="8513" xr:uid="{4DCAE3A6-CA03-4201-ACCF-A6585FFF37C1}"/>
    <cellStyle name="Style 1640" xfId="8514" xr:uid="{D4F315A7-725E-49B9-B7C7-4D2D8A2CF8B3}"/>
    <cellStyle name="Style 1644" xfId="8515" xr:uid="{CB2F6A21-CB5D-451C-B8AB-8E19BB8144FD}"/>
    <cellStyle name="Style 1663" xfId="204" xr:uid="{00000000-0005-0000-0000-0000F20D0000}"/>
    <cellStyle name="Style 1663 10" xfId="2891" xr:uid="{00000000-0005-0000-0000-0000F30D0000}"/>
    <cellStyle name="Style 1663 10 2" xfId="4780" xr:uid="{00000000-0005-0000-0000-0000F40D0000}"/>
    <cellStyle name="Style 1663 11" xfId="3128" xr:uid="{00000000-0005-0000-0000-0000F50D0000}"/>
    <cellStyle name="Style 1663 11 2" xfId="5014" xr:uid="{00000000-0005-0000-0000-0000F60D0000}"/>
    <cellStyle name="Style 1663 12" xfId="5250" xr:uid="{00000000-0005-0000-0000-0000F70D0000}"/>
    <cellStyle name="Style 1663 12 2" xfId="6710" xr:uid="{00000000-0005-0000-0000-0000F70D0000}"/>
    <cellStyle name="Style 1663 13" xfId="5481" xr:uid="{00000000-0005-0000-0000-0000F80D0000}"/>
    <cellStyle name="Style 1663 13 2" xfId="6905" xr:uid="{00000000-0005-0000-0000-0000F80D0000}"/>
    <cellStyle name="Style 1663 14" xfId="5833" xr:uid="{00000000-0005-0000-0000-0000F90D0000}"/>
    <cellStyle name="Style 1663 14 2" xfId="7253" xr:uid="{00000000-0005-0000-0000-0000F90D0000}"/>
    <cellStyle name="Style 1663 15" xfId="6324" xr:uid="{00000000-0005-0000-0000-0000FA0D0000}"/>
    <cellStyle name="Style 1663 15 2" xfId="7602" xr:uid="{00000000-0005-0000-0000-0000FA0D0000}"/>
    <cellStyle name="Style 1663 2" xfId="438" xr:uid="{00000000-0005-0000-0000-0000FB0D0000}"/>
    <cellStyle name="Style 1663 2 2" xfId="911" xr:uid="{00000000-0005-0000-0000-0000FC0D0000}"/>
    <cellStyle name="Style 1663 2 2 2" xfId="8517" xr:uid="{6D0FB146-7D18-4720-8727-A6A4F2A68EA0}"/>
    <cellStyle name="Style 1663 2 3" xfId="8516" xr:uid="{4898997C-73EE-44D8-A0DF-FED9DB06FC6A}"/>
    <cellStyle name="Style 1663 3" xfId="672" xr:uid="{00000000-0005-0000-0000-0000FD0D0000}"/>
    <cellStyle name="Style 1663 3 2" xfId="1145" xr:uid="{00000000-0005-0000-0000-0000FE0D0000}"/>
    <cellStyle name="Style 1663 3 3" xfId="8518" xr:uid="{9B0F5BC4-37A5-4916-869A-492FBBC27160}"/>
    <cellStyle name="Style 1663 4" xfId="1385" xr:uid="{00000000-0005-0000-0000-0000FF0D0000}"/>
    <cellStyle name="Style 1663 4 2" xfId="3369" xr:uid="{00000000-0005-0000-0000-0000000E0000}"/>
    <cellStyle name="Style 1663 5" xfId="1680" xr:uid="{00000000-0005-0000-0000-0000010E0000}"/>
    <cellStyle name="Style 1663 5 2" xfId="3607" xr:uid="{00000000-0005-0000-0000-0000020E0000}"/>
    <cellStyle name="Style 1663 6" xfId="1931" xr:uid="{00000000-0005-0000-0000-0000030E0000}"/>
    <cellStyle name="Style 1663 6 2" xfId="3841" xr:uid="{00000000-0005-0000-0000-0000040E0000}"/>
    <cellStyle name="Style 1663 7" xfId="2175" xr:uid="{00000000-0005-0000-0000-0000050E0000}"/>
    <cellStyle name="Style 1663 7 2" xfId="4076" xr:uid="{00000000-0005-0000-0000-0000060E0000}"/>
    <cellStyle name="Style 1663 8" xfId="2410" xr:uid="{00000000-0005-0000-0000-0000070E0000}"/>
    <cellStyle name="Style 1663 8 2" xfId="4311" xr:uid="{00000000-0005-0000-0000-0000080E0000}"/>
    <cellStyle name="Style 1663 9" xfId="2657" xr:uid="{00000000-0005-0000-0000-0000090E0000}"/>
    <cellStyle name="Style 1663 9 2" xfId="4546" xr:uid="{00000000-0005-0000-0000-00000A0E0000}"/>
    <cellStyle name="Style 1665" xfId="205" xr:uid="{00000000-0005-0000-0000-00000B0E0000}"/>
    <cellStyle name="Style 1665 10" xfId="2892" xr:uid="{00000000-0005-0000-0000-00000C0E0000}"/>
    <cellStyle name="Style 1665 10 2" xfId="4781" xr:uid="{00000000-0005-0000-0000-00000D0E0000}"/>
    <cellStyle name="Style 1665 11" xfId="3129" xr:uid="{00000000-0005-0000-0000-00000E0E0000}"/>
    <cellStyle name="Style 1665 11 2" xfId="5015" xr:uid="{00000000-0005-0000-0000-00000F0E0000}"/>
    <cellStyle name="Style 1665 12" xfId="5251" xr:uid="{00000000-0005-0000-0000-0000100E0000}"/>
    <cellStyle name="Style 1665 12 2" xfId="6711" xr:uid="{00000000-0005-0000-0000-0000100E0000}"/>
    <cellStyle name="Style 1665 13" xfId="5482" xr:uid="{00000000-0005-0000-0000-0000110E0000}"/>
    <cellStyle name="Style 1665 13 2" xfId="6906" xr:uid="{00000000-0005-0000-0000-0000110E0000}"/>
    <cellStyle name="Style 1665 14" xfId="5834" xr:uid="{00000000-0005-0000-0000-0000120E0000}"/>
    <cellStyle name="Style 1665 14 2" xfId="7254" xr:uid="{00000000-0005-0000-0000-0000120E0000}"/>
    <cellStyle name="Style 1665 15" xfId="6325" xr:uid="{00000000-0005-0000-0000-0000130E0000}"/>
    <cellStyle name="Style 1665 15 2" xfId="7603" xr:uid="{00000000-0005-0000-0000-0000130E0000}"/>
    <cellStyle name="Style 1665 2" xfId="439" xr:uid="{00000000-0005-0000-0000-0000140E0000}"/>
    <cellStyle name="Style 1665 2 2" xfId="912" xr:uid="{00000000-0005-0000-0000-0000150E0000}"/>
    <cellStyle name="Style 1665 2 2 2" xfId="8520" xr:uid="{CB4A0BA6-3D34-4319-9FC8-07FC04452F57}"/>
    <cellStyle name="Style 1665 2 3" xfId="8519" xr:uid="{647806C0-5618-4DF5-8128-4942E6E8ED34}"/>
    <cellStyle name="Style 1665 3" xfId="673" xr:uid="{00000000-0005-0000-0000-0000160E0000}"/>
    <cellStyle name="Style 1665 3 2" xfId="1146" xr:uid="{00000000-0005-0000-0000-0000170E0000}"/>
    <cellStyle name="Style 1665 3 3" xfId="8521" xr:uid="{1760CA48-4B4C-4A96-8EAE-58F53F95C5A4}"/>
    <cellStyle name="Style 1665 4" xfId="1386" xr:uid="{00000000-0005-0000-0000-0000180E0000}"/>
    <cellStyle name="Style 1665 4 2" xfId="3370" xr:uid="{00000000-0005-0000-0000-0000190E0000}"/>
    <cellStyle name="Style 1665 4 3" xfId="8522" xr:uid="{B8B24711-F30B-4158-8740-CB4293463F6E}"/>
    <cellStyle name="Style 1665 5" xfId="1681" xr:uid="{00000000-0005-0000-0000-00001A0E0000}"/>
    <cellStyle name="Style 1665 5 2" xfId="3608" xr:uid="{00000000-0005-0000-0000-00001B0E0000}"/>
    <cellStyle name="Style 1665 6" xfId="1932" xr:uid="{00000000-0005-0000-0000-00001C0E0000}"/>
    <cellStyle name="Style 1665 6 2" xfId="3842" xr:uid="{00000000-0005-0000-0000-00001D0E0000}"/>
    <cellStyle name="Style 1665 7" xfId="2176" xr:uid="{00000000-0005-0000-0000-00001E0E0000}"/>
    <cellStyle name="Style 1665 7 2" xfId="4077" xr:uid="{00000000-0005-0000-0000-00001F0E0000}"/>
    <cellStyle name="Style 1665 8" xfId="2411" xr:uid="{00000000-0005-0000-0000-0000200E0000}"/>
    <cellStyle name="Style 1665 8 2" xfId="4312" xr:uid="{00000000-0005-0000-0000-0000210E0000}"/>
    <cellStyle name="Style 1665 9" xfId="2658" xr:uid="{00000000-0005-0000-0000-0000220E0000}"/>
    <cellStyle name="Style 1665 9 2" xfId="4547" xr:uid="{00000000-0005-0000-0000-0000230E0000}"/>
    <cellStyle name="Style 1666" xfId="206" xr:uid="{00000000-0005-0000-0000-0000240E0000}"/>
    <cellStyle name="Style 1666 10" xfId="2893" xr:uid="{00000000-0005-0000-0000-0000250E0000}"/>
    <cellStyle name="Style 1666 10 2" xfId="4782" xr:uid="{00000000-0005-0000-0000-0000260E0000}"/>
    <cellStyle name="Style 1666 11" xfId="3130" xr:uid="{00000000-0005-0000-0000-0000270E0000}"/>
    <cellStyle name="Style 1666 11 2" xfId="5016" xr:uid="{00000000-0005-0000-0000-0000280E0000}"/>
    <cellStyle name="Style 1666 12" xfId="5252" xr:uid="{00000000-0005-0000-0000-0000290E0000}"/>
    <cellStyle name="Style 1666 12 2" xfId="6712" xr:uid="{00000000-0005-0000-0000-0000290E0000}"/>
    <cellStyle name="Style 1666 13" xfId="5483" xr:uid="{00000000-0005-0000-0000-00002A0E0000}"/>
    <cellStyle name="Style 1666 13 2" xfId="6907" xr:uid="{00000000-0005-0000-0000-00002A0E0000}"/>
    <cellStyle name="Style 1666 14" xfId="5835" xr:uid="{00000000-0005-0000-0000-00002B0E0000}"/>
    <cellStyle name="Style 1666 14 2" xfId="7255" xr:uid="{00000000-0005-0000-0000-00002B0E0000}"/>
    <cellStyle name="Style 1666 15" xfId="6326" xr:uid="{00000000-0005-0000-0000-00002C0E0000}"/>
    <cellStyle name="Style 1666 15 2" xfId="7604" xr:uid="{00000000-0005-0000-0000-00002C0E0000}"/>
    <cellStyle name="Style 1666 2" xfId="440" xr:uid="{00000000-0005-0000-0000-00002D0E0000}"/>
    <cellStyle name="Style 1666 2 2" xfId="913" xr:uid="{00000000-0005-0000-0000-00002E0E0000}"/>
    <cellStyle name="Style 1666 2 2 2" xfId="8524" xr:uid="{C4F68F16-B637-43E1-A23A-2AC087FD4C3C}"/>
    <cellStyle name="Style 1666 2 3" xfId="8523" xr:uid="{4D9DF141-6041-4F5A-89FA-E182E8CD92EE}"/>
    <cellStyle name="Style 1666 3" xfId="674" xr:uid="{00000000-0005-0000-0000-00002F0E0000}"/>
    <cellStyle name="Style 1666 3 2" xfId="1147" xr:uid="{00000000-0005-0000-0000-0000300E0000}"/>
    <cellStyle name="Style 1666 3 3" xfId="8525" xr:uid="{AC790C08-A3B9-47AE-B183-92FCB24EC54F}"/>
    <cellStyle name="Style 1666 4" xfId="1387" xr:uid="{00000000-0005-0000-0000-0000310E0000}"/>
    <cellStyle name="Style 1666 4 2" xfId="3371" xr:uid="{00000000-0005-0000-0000-0000320E0000}"/>
    <cellStyle name="Style 1666 4 3" xfId="8526" xr:uid="{0627A8BA-0F47-4CD8-9401-5FFC547E0029}"/>
    <cellStyle name="Style 1666 5" xfId="1682" xr:uid="{00000000-0005-0000-0000-0000330E0000}"/>
    <cellStyle name="Style 1666 5 2" xfId="3609" xr:uid="{00000000-0005-0000-0000-0000340E0000}"/>
    <cellStyle name="Style 1666 6" xfId="1933" xr:uid="{00000000-0005-0000-0000-0000350E0000}"/>
    <cellStyle name="Style 1666 6 2" xfId="3843" xr:uid="{00000000-0005-0000-0000-0000360E0000}"/>
    <cellStyle name="Style 1666 7" xfId="2177" xr:uid="{00000000-0005-0000-0000-0000370E0000}"/>
    <cellStyle name="Style 1666 7 2" xfId="4078" xr:uid="{00000000-0005-0000-0000-0000380E0000}"/>
    <cellStyle name="Style 1666 8" xfId="2412" xr:uid="{00000000-0005-0000-0000-0000390E0000}"/>
    <cellStyle name="Style 1666 8 2" xfId="4313" xr:uid="{00000000-0005-0000-0000-00003A0E0000}"/>
    <cellStyle name="Style 1666 9" xfId="2659" xr:uid="{00000000-0005-0000-0000-00003B0E0000}"/>
    <cellStyle name="Style 1666 9 2" xfId="4548" xr:uid="{00000000-0005-0000-0000-00003C0E0000}"/>
    <cellStyle name="Style 1667" xfId="207" xr:uid="{00000000-0005-0000-0000-00003D0E0000}"/>
    <cellStyle name="Style 1667 10" xfId="2894" xr:uid="{00000000-0005-0000-0000-00003E0E0000}"/>
    <cellStyle name="Style 1667 10 2" xfId="4783" xr:uid="{00000000-0005-0000-0000-00003F0E0000}"/>
    <cellStyle name="Style 1667 11" xfId="3131" xr:uid="{00000000-0005-0000-0000-0000400E0000}"/>
    <cellStyle name="Style 1667 11 2" xfId="5017" xr:uid="{00000000-0005-0000-0000-0000410E0000}"/>
    <cellStyle name="Style 1667 12" xfId="5253" xr:uid="{00000000-0005-0000-0000-0000420E0000}"/>
    <cellStyle name="Style 1667 12 2" xfId="6713" xr:uid="{00000000-0005-0000-0000-0000420E0000}"/>
    <cellStyle name="Style 1667 13" xfId="5484" xr:uid="{00000000-0005-0000-0000-0000430E0000}"/>
    <cellStyle name="Style 1667 13 2" xfId="6908" xr:uid="{00000000-0005-0000-0000-0000430E0000}"/>
    <cellStyle name="Style 1667 14" xfId="5836" xr:uid="{00000000-0005-0000-0000-0000440E0000}"/>
    <cellStyle name="Style 1667 14 2" xfId="7256" xr:uid="{00000000-0005-0000-0000-0000440E0000}"/>
    <cellStyle name="Style 1667 15" xfId="6327" xr:uid="{00000000-0005-0000-0000-0000450E0000}"/>
    <cellStyle name="Style 1667 15 2" xfId="7605" xr:uid="{00000000-0005-0000-0000-0000450E0000}"/>
    <cellStyle name="Style 1667 2" xfId="441" xr:uid="{00000000-0005-0000-0000-0000460E0000}"/>
    <cellStyle name="Style 1667 2 2" xfId="914" xr:uid="{00000000-0005-0000-0000-0000470E0000}"/>
    <cellStyle name="Style 1667 2 2 2" xfId="8528" xr:uid="{F29F0F9C-10BA-42CA-B5D5-4F8783F1864D}"/>
    <cellStyle name="Style 1667 2 3" xfId="8527" xr:uid="{57AB8F36-1DD7-4A6E-9CC5-27B9B659F225}"/>
    <cellStyle name="Style 1667 3" xfId="675" xr:uid="{00000000-0005-0000-0000-0000480E0000}"/>
    <cellStyle name="Style 1667 3 2" xfId="1148" xr:uid="{00000000-0005-0000-0000-0000490E0000}"/>
    <cellStyle name="Style 1667 3 3" xfId="8529" xr:uid="{540EFE1C-BE73-4735-B647-E49B6355E11B}"/>
    <cellStyle name="Style 1667 4" xfId="1388" xr:uid="{00000000-0005-0000-0000-00004A0E0000}"/>
    <cellStyle name="Style 1667 4 2" xfId="3372" xr:uid="{00000000-0005-0000-0000-00004B0E0000}"/>
    <cellStyle name="Style 1667 4 3" xfId="8530" xr:uid="{FF1B4140-E82D-4341-8010-7E8CE930469E}"/>
    <cellStyle name="Style 1667 5" xfId="1683" xr:uid="{00000000-0005-0000-0000-00004C0E0000}"/>
    <cellStyle name="Style 1667 5 2" xfId="3610" xr:uid="{00000000-0005-0000-0000-00004D0E0000}"/>
    <cellStyle name="Style 1667 6" xfId="1934" xr:uid="{00000000-0005-0000-0000-00004E0E0000}"/>
    <cellStyle name="Style 1667 6 2" xfId="3844" xr:uid="{00000000-0005-0000-0000-00004F0E0000}"/>
    <cellStyle name="Style 1667 7" xfId="2178" xr:uid="{00000000-0005-0000-0000-0000500E0000}"/>
    <cellStyle name="Style 1667 7 2" xfId="4079" xr:uid="{00000000-0005-0000-0000-0000510E0000}"/>
    <cellStyle name="Style 1667 8" xfId="2413" xr:uid="{00000000-0005-0000-0000-0000520E0000}"/>
    <cellStyle name="Style 1667 8 2" xfId="4314" xr:uid="{00000000-0005-0000-0000-0000530E0000}"/>
    <cellStyle name="Style 1667 9" xfId="2660" xr:uid="{00000000-0005-0000-0000-0000540E0000}"/>
    <cellStyle name="Style 1667 9 2" xfId="4549" xr:uid="{00000000-0005-0000-0000-0000550E0000}"/>
    <cellStyle name="Style 1668" xfId="208" xr:uid="{00000000-0005-0000-0000-0000560E0000}"/>
    <cellStyle name="Style 1668 10" xfId="2895" xr:uid="{00000000-0005-0000-0000-0000570E0000}"/>
    <cellStyle name="Style 1668 10 2" xfId="4784" xr:uid="{00000000-0005-0000-0000-0000580E0000}"/>
    <cellStyle name="Style 1668 11" xfId="3132" xr:uid="{00000000-0005-0000-0000-0000590E0000}"/>
    <cellStyle name="Style 1668 11 2" xfId="5018" xr:uid="{00000000-0005-0000-0000-00005A0E0000}"/>
    <cellStyle name="Style 1668 12" xfId="5254" xr:uid="{00000000-0005-0000-0000-00005B0E0000}"/>
    <cellStyle name="Style 1668 12 2" xfId="6714" xr:uid="{00000000-0005-0000-0000-00005B0E0000}"/>
    <cellStyle name="Style 1668 13" xfId="5485" xr:uid="{00000000-0005-0000-0000-00005C0E0000}"/>
    <cellStyle name="Style 1668 13 2" xfId="6909" xr:uid="{00000000-0005-0000-0000-00005C0E0000}"/>
    <cellStyle name="Style 1668 14" xfId="5837" xr:uid="{00000000-0005-0000-0000-00005D0E0000}"/>
    <cellStyle name="Style 1668 14 2" xfId="7257" xr:uid="{00000000-0005-0000-0000-00005D0E0000}"/>
    <cellStyle name="Style 1668 15" xfId="6328" xr:uid="{00000000-0005-0000-0000-00005E0E0000}"/>
    <cellStyle name="Style 1668 15 2" xfId="7606" xr:uid="{00000000-0005-0000-0000-00005E0E0000}"/>
    <cellStyle name="Style 1668 2" xfId="442" xr:uid="{00000000-0005-0000-0000-00005F0E0000}"/>
    <cellStyle name="Style 1668 2 2" xfId="915" xr:uid="{00000000-0005-0000-0000-0000600E0000}"/>
    <cellStyle name="Style 1668 2 2 2" xfId="8532" xr:uid="{FDABF25E-17F7-43A7-B712-FC9E523592C9}"/>
    <cellStyle name="Style 1668 2 3" xfId="8531" xr:uid="{7F55B311-C795-444A-BE6A-02728865E5FE}"/>
    <cellStyle name="Style 1668 3" xfId="676" xr:uid="{00000000-0005-0000-0000-0000610E0000}"/>
    <cellStyle name="Style 1668 3 2" xfId="1149" xr:uid="{00000000-0005-0000-0000-0000620E0000}"/>
    <cellStyle name="Style 1668 3 3" xfId="8533" xr:uid="{7E69D5C5-6486-4CC4-951F-A81F7057CA50}"/>
    <cellStyle name="Style 1668 4" xfId="1389" xr:uid="{00000000-0005-0000-0000-0000630E0000}"/>
    <cellStyle name="Style 1668 4 2" xfId="3373" xr:uid="{00000000-0005-0000-0000-0000640E0000}"/>
    <cellStyle name="Style 1668 4 3" xfId="8534" xr:uid="{F93FE076-03C0-4A57-BE73-C5B5F1ECCB29}"/>
    <cellStyle name="Style 1668 5" xfId="1684" xr:uid="{00000000-0005-0000-0000-0000650E0000}"/>
    <cellStyle name="Style 1668 5 2" xfId="3611" xr:uid="{00000000-0005-0000-0000-0000660E0000}"/>
    <cellStyle name="Style 1668 6" xfId="1935" xr:uid="{00000000-0005-0000-0000-0000670E0000}"/>
    <cellStyle name="Style 1668 6 2" xfId="3845" xr:uid="{00000000-0005-0000-0000-0000680E0000}"/>
    <cellStyle name="Style 1668 7" xfId="2179" xr:uid="{00000000-0005-0000-0000-0000690E0000}"/>
    <cellStyle name="Style 1668 7 2" xfId="4080" xr:uid="{00000000-0005-0000-0000-00006A0E0000}"/>
    <cellStyle name="Style 1668 8" xfId="2414" xr:uid="{00000000-0005-0000-0000-00006B0E0000}"/>
    <cellStyle name="Style 1668 8 2" xfId="4315" xr:uid="{00000000-0005-0000-0000-00006C0E0000}"/>
    <cellStyle name="Style 1668 9" xfId="2661" xr:uid="{00000000-0005-0000-0000-00006D0E0000}"/>
    <cellStyle name="Style 1668 9 2" xfId="4550" xr:uid="{00000000-0005-0000-0000-00006E0E0000}"/>
    <cellStyle name="Style 1669" xfId="209" xr:uid="{00000000-0005-0000-0000-00006F0E0000}"/>
    <cellStyle name="Style 1669 10" xfId="2896" xr:uid="{00000000-0005-0000-0000-0000700E0000}"/>
    <cellStyle name="Style 1669 10 2" xfId="4785" xr:uid="{00000000-0005-0000-0000-0000710E0000}"/>
    <cellStyle name="Style 1669 11" xfId="3133" xr:uid="{00000000-0005-0000-0000-0000720E0000}"/>
    <cellStyle name="Style 1669 11 2" xfId="5019" xr:uid="{00000000-0005-0000-0000-0000730E0000}"/>
    <cellStyle name="Style 1669 12" xfId="5255" xr:uid="{00000000-0005-0000-0000-0000740E0000}"/>
    <cellStyle name="Style 1669 12 2" xfId="6715" xr:uid="{00000000-0005-0000-0000-0000740E0000}"/>
    <cellStyle name="Style 1669 13" xfId="5486" xr:uid="{00000000-0005-0000-0000-0000750E0000}"/>
    <cellStyle name="Style 1669 13 2" xfId="6910" xr:uid="{00000000-0005-0000-0000-0000750E0000}"/>
    <cellStyle name="Style 1669 14" xfId="5838" xr:uid="{00000000-0005-0000-0000-0000760E0000}"/>
    <cellStyle name="Style 1669 14 2" xfId="7258" xr:uid="{00000000-0005-0000-0000-0000760E0000}"/>
    <cellStyle name="Style 1669 15" xfId="6329" xr:uid="{00000000-0005-0000-0000-0000770E0000}"/>
    <cellStyle name="Style 1669 15 2" xfId="7607" xr:uid="{00000000-0005-0000-0000-0000770E0000}"/>
    <cellStyle name="Style 1669 2" xfId="443" xr:uid="{00000000-0005-0000-0000-0000780E0000}"/>
    <cellStyle name="Style 1669 2 2" xfId="916" xr:uid="{00000000-0005-0000-0000-0000790E0000}"/>
    <cellStyle name="Style 1669 2 2 2" xfId="8536" xr:uid="{7FC1267B-C00C-4E46-9032-F62FD3C1584A}"/>
    <cellStyle name="Style 1669 2 3" xfId="8535" xr:uid="{C612BA2D-98C3-4B97-B8AD-817B63054B98}"/>
    <cellStyle name="Style 1669 3" xfId="677" xr:uid="{00000000-0005-0000-0000-00007A0E0000}"/>
    <cellStyle name="Style 1669 3 2" xfId="1150" xr:uid="{00000000-0005-0000-0000-00007B0E0000}"/>
    <cellStyle name="Style 1669 3 3" xfId="8537" xr:uid="{792D7B58-2966-4FF9-A54E-90C5E55BB33B}"/>
    <cellStyle name="Style 1669 4" xfId="1390" xr:uid="{00000000-0005-0000-0000-00007C0E0000}"/>
    <cellStyle name="Style 1669 4 2" xfId="3374" xr:uid="{00000000-0005-0000-0000-00007D0E0000}"/>
    <cellStyle name="Style 1669 4 3" xfId="8538" xr:uid="{D6B95C36-3111-4E65-99F4-3C01528D990D}"/>
    <cellStyle name="Style 1669 5" xfId="1685" xr:uid="{00000000-0005-0000-0000-00007E0E0000}"/>
    <cellStyle name="Style 1669 5 2" xfId="3612" xr:uid="{00000000-0005-0000-0000-00007F0E0000}"/>
    <cellStyle name="Style 1669 6" xfId="1936" xr:uid="{00000000-0005-0000-0000-0000800E0000}"/>
    <cellStyle name="Style 1669 6 2" xfId="3846" xr:uid="{00000000-0005-0000-0000-0000810E0000}"/>
    <cellStyle name="Style 1669 7" xfId="2180" xr:uid="{00000000-0005-0000-0000-0000820E0000}"/>
    <cellStyle name="Style 1669 7 2" xfId="4081" xr:uid="{00000000-0005-0000-0000-0000830E0000}"/>
    <cellStyle name="Style 1669 8" xfId="2415" xr:uid="{00000000-0005-0000-0000-0000840E0000}"/>
    <cellStyle name="Style 1669 8 2" xfId="4316" xr:uid="{00000000-0005-0000-0000-0000850E0000}"/>
    <cellStyle name="Style 1669 9" xfId="2662" xr:uid="{00000000-0005-0000-0000-0000860E0000}"/>
    <cellStyle name="Style 1669 9 2" xfId="4551" xr:uid="{00000000-0005-0000-0000-0000870E0000}"/>
    <cellStyle name="Style 1670" xfId="210" xr:uid="{00000000-0005-0000-0000-0000880E0000}"/>
    <cellStyle name="Style 1670 10" xfId="2897" xr:uid="{00000000-0005-0000-0000-0000890E0000}"/>
    <cellStyle name="Style 1670 10 2" xfId="4786" xr:uid="{00000000-0005-0000-0000-00008A0E0000}"/>
    <cellStyle name="Style 1670 11" xfId="3134" xr:uid="{00000000-0005-0000-0000-00008B0E0000}"/>
    <cellStyle name="Style 1670 11 2" xfId="5020" xr:uid="{00000000-0005-0000-0000-00008C0E0000}"/>
    <cellStyle name="Style 1670 12" xfId="5256" xr:uid="{00000000-0005-0000-0000-00008D0E0000}"/>
    <cellStyle name="Style 1670 12 2" xfId="6716" xr:uid="{00000000-0005-0000-0000-00008D0E0000}"/>
    <cellStyle name="Style 1670 13" xfId="5487" xr:uid="{00000000-0005-0000-0000-00008E0E0000}"/>
    <cellStyle name="Style 1670 13 2" xfId="6911" xr:uid="{00000000-0005-0000-0000-00008E0E0000}"/>
    <cellStyle name="Style 1670 14" xfId="5839" xr:uid="{00000000-0005-0000-0000-00008F0E0000}"/>
    <cellStyle name="Style 1670 14 2" xfId="7259" xr:uid="{00000000-0005-0000-0000-00008F0E0000}"/>
    <cellStyle name="Style 1670 15" xfId="6330" xr:uid="{00000000-0005-0000-0000-0000900E0000}"/>
    <cellStyle name="Style 1670 15 2" xfId="7608" xr:uid="{00000000-0005-0000-0000-0000900E0000}"/>
    <cellStyle name="Style 1670 2" xfId="444" xr:uid="{00000000-0005-0000-0000-0000910E0000}"/>
    <cellStyle name="Style 1670 2 2" xfId="917" xr:uid="{00000000-0005-0000-0000-0000920E0000}"/>
    <cellStyle name="Style 1670 2 2 2" xfId="8540" xr:uid="{AEB742D3-1FC0-47BC-8BE5-B1CA3288342F}"/>
    <cellStyle name="Style 1670 2 3" xfId="8539" xr:uid="{EB093C3E-25E5-4E01-B37A-C7EF22D194EE}"/>
    <cellStyle name="Style 1670 3" xfId="678" xr:uid="{00000000-0005-0000-0000-0000930E0000}"/>
    <cellStyle name="Style 1670 3 2" xfId="1151" xr:uid="{00000000-0005-0000-0000-0000940E0000}"/>
    <cellStyle name="Style 1670 3 3" xfId="8541" xr:uid="{3A778324-8C35-43F2-8959-988067D64264}"/>
    <cellStyle name="Style 1670 4" xfId="1391" xr:uid="{00000000-0005-0000-0000-0000950E0000}"/>
    <cellStyle name="Style 1670 4 2" xfId="3375" xr:uid="{00000000-0005-0000-0000-0000960E0000}"/>
    <cellStyle name="Style 1670 4 3" xfId="8542" xr:uid="{36CA3DAE-4D29-4A32-8044-F5623D8CC5BF}"/>
    <cellStyle name="Style 1670 5" xfId="1686" xr:uid="{00000000-0005-0000-0000-0000970E0000}"/>
    <cellStyle name="Style 1670 5 2" xfId="3613" xr:uid="{00000000-0005-0000-0000-0000980E0000}"/>
    <cellStyle name="Style 1670 6" xfId="1937" xr:uid="{00000000-0005-0000-0000-0000990E0000}"/>
    <cellStyle name="Style 1670 6 2" xfId="3847" xr:uid="{00000000-0005-0000-0000-00009A0E0000}"/>
    <cellStyle name="Style 1670 7" xfId="2181" xr:uid="{00000000-0005-0000-0000-00009B0E0000}"/>
    <cellStyle name="Style 1670 7 2" xfId="4082" xr:uid="{00000000-0005-0000-0000-00009C0E0000}"/>
    <cellStyle name="Style 1670 8" xfId="2416" xr:uid="{00000000-0005-0000-0000-00009D0E0000}"/>
    <cellStyle name="Style 1670 8 2" xfId="4317" xr:uid="{00000000-0005-0000-0000-00009E0E0000}"/>
    <cellStyle name="Style 1670 9" xfId="2663" xr:uid="{00000000-0005-0000-0000-00009F0E0000}"/>
    <cellStyle name="Style 1670 9 2" xfId="4552" xr:uid="{00000000-0005-0000-0000-0000A00E0000}"/>
    <cellStyle name="Style 1671" xfId="211" xr:uid="{00000000-0005-0000-0000-0000A10E0000}"/>
    <cellStyle name="Style 1671 10" xfId="2898" xr:uid="{00000000-0005-0000-0000-0000A20E0000}"/>
    <cellStyle name="Style 1671 10 2" xfId="4787" xr:uid="{00000000-0005-0000-0000-0000A30E0000}"/>
    <cellStyle name="Style 1671 11" xfId="3135" xr:uid="{00000000-0005-0000-0000-0000A40E0000}"/>
    <cellStyle name="Style 1671 11 2" xfId="5021" xr:uid="{00000000-0005-0000-0000-0000A50E0000}"/>
    <cellStyle name="Style 1671 12" xfId="5257" xr:uid="{00000000-0005-0000-0000-0000A60E0000}"/>
    <cellStyle name="Style 1671 12 2" xfId="6717" xr:uid="{00000000-0005-0000-0000-0000A60E0000}"/>
    <cellStyle name="Style 1671 13" xfId="5488" xr:uid="{00000000-0005-0000-0000-0000A70E0000}"/>
    <cellStyle name="Style 1671 13 2" xfId="6912" xr:uid="{00000000-0005-0000-0000-0000A70E0000}"/>
    <cellStyle name="Style 1671 14" xfId="5840" xr:uid="{00000000-0005-0000-0000-0000A80E0000}"/>
    <cellStyle name="Style 1671 14 2" xfId="7260" xr:uid="{00000000-0005-0000-0000-0000A80E0000}"/>
    <cellStyle name="Style 1671 15" xfId="6331" xr:uid="{00000000-0005-0000-0000-0000A90E0000}"/>
    <cellStyle name="Style 1671 15 2" xfId="7609" xr:uid="{00000000-0005-0000-0000-0000A90E0000}"/>
    <cellStyle name="Style 1671 2" xfId="445" xr:uid="{00000000-0005-0000-0000-0000AA0E0000}"/>
    <cellStyle name="Style 1671 2 2" xfId="918" xr:uid="{00000000-0005-0000-0000-0000AB0E0000}"/>
    <cellStyle name="Style 1671 2 2 2" xfId="8544" xr:uid="{BC27CA9A-4928-4917-84BB-25069AC915DB}"/>
    <cellStyle name="Style 1671 2 3" xfId="8543" xr:uid="{EC2993FB-0BF7-4C54-9D47-C4567D64A674}"/>
    <cellStyle name="Style 1671 3" xfId="679" xr:uid="{00000000-0005-0000-0000-0000AC0E0000}"/>
    <cellStyle name="Style 1671 3 2" xfId="1152" xr:uid="{00000000-0005-0000-0000-0000AD0E0000}"/>
    <cellStyle name="Style 1671 3 3" xfId="8545" xr:uid="{1E6F2BDA-6B0B-4A8B-801E-4A33C83F5E2A}"/>
    <cellStyle name="Style 1671 4" xfId="1392" xr:uid="{00000000-0005-0000-0000-0000AE0E0000}"/>
    <cellStyle name="Style 1671 4 2" xfId="3376" xr:uid="{00000000-0005-0000-0000-0000AF0E0000}"/>
    <cellStyle name="Style 1671 4 3" xfId="8546" xr:uid="{B61ECBD3-A717-4C73-B603-303AAEF4EC23}"/>
    <cellStyle name="Style 1671 5" xfId="1687" xr:uid="{00000000-0005-0000-0000-0000B00E0000}"/>
    <cellStyle name="Style 1671 5 2" xfId="3614" xr:uid="{00000000-0005-0000-0000-0000B10E0000}"/>
    <cellStyle name="Style 1671 6" xfId="1938" xr:uid="{00000000-0005-0000-0000-0000B20E0000}"/>
    <cellStyle name="Style 1671 6 2" xfId="3848" xr:uid="{00000000-0005-0000-0000-0000B30E0000}"/>
    <cellStyle name="Style 1671 7" xfId="2182" xr:uid="{00000000-0005-0000-0000-0000B40E0000}"/>
    <cellStyle name="Style 1671 7 2" xfId="4083" xr:uid="{00000000-0005-0000-0000-0000B50E0000}"/>
    <cellStyle name="Style 1671 8" xfId="2417" xr:uid="{00000000-0005-0000-0000-0000B60E0000}"/>
    <cellStyle name="Style 1671 8 2" xfId="4318" xr:uid="{00000000-0005-0000-0000-0000B70E0000}"/>
    <cellStyle name="Style 1671 9" xfId="2664" xr:uid="{00000000-0005-0000-0000-0000B80E0000}"/>
    <cellStyle name="Style 1671 9 2" xfId="4553" xr:uid="{00000000-0005-0000-0000-0000B90E0000}"/>
    <cellStyle name="Style 1672" xfId="212" xr:uid="{00000000-0005-0000-0000-0000BA0E0000}"/>
    <cellStyle name="Style 1672 10" xfId="2899" xr:uid="{00000000-0005-0000-0000-0000BB0E0000}"/>
    <cellStyle name="Style 1672 10 2" xfId="4788" xr:uid="{00000000-0005-0000-0000-0000BC0E0000}"/>
    <cellStyle name="Style 1672 11" xfId="3136" xr:uid="{00000000-0005-0000-0000-0000BD0E0000}"/>
    <cellStyle name="Style 1672 11 2" xfId="5022" xr:uid="{00000000-0005-0000-0000-0000BE0E0000}"/>
    <cellStyle name="Style 1672 12" xfId="5258" xr:uid="{00000000-0005-0000-0000-0000BF0E0000}"/>
    <cellStyle name="Style 1672 12 2" xfId="6718" xr:uid="{00000000-0005-0000-0000-0000BF0E0000}"/>
    <cellStyle name="Style 1672 13" xfId="5489" xr:uid="{00000000-0005-0000-0000-0000C00E0000}"/>
    <cellStyle name="Style 1672 13 2" xfId="6913" xr:uid="{00000000-0005-0000-0000-0000C00E0000}"/>
    <cellStyle name="Style 1672 14" xfId="5841" xr:uid="{00000000-0005-0000-0000-0000C10E0000}"/>
    <cellStyle name="Style 1672 14 2" xfId="7261" xr:uid="{00000000-0005-0000-0000-0000C10E0000}"/>
    <cellStyle name="Style 1672 15" xfId="6332" xr:uid="{00000000-0005-0000-0000-0000C20E0000}"/>
    <cellStyle name="Style 1672 15 2" xfId="7610" xr:uid="{00000000-0005-0000-0000-0000C20E0000}"/>
    <cellStyle name="Style 1672 2" xfId="446" xr:uid="{00000000-0005-0000-0000-0000C30E0000}"/>
    <cellStyle name="Style 1672 2 2" xfId="919" xr:uid="{00000000-0005-0000-0000-0000C40E0000}"/>
    <cellStyle name="Style 1672 2 2 2" xfId="8548" xr:uid="{D3652E11-0F17-45B4-91F1-E349D03C7B5E}"/>
    <cellStyle name="Style 1672 2 3" xfId="8547" xr:uid="{0DC7AFE6-1B75-462D-84B1-D1F097A06E07}"/>
    <cellStyle name="Style 1672 3" xfId="680" xr:uid="{00000000-0005-0000-0000-0000C50E0000}"/>
    <cellStyle name="Style 1672 3 2" xfId="1153" xr:uid="{00000000-0005-0000-0000-0000C60E0000}"/>
    <cellStyle name="Style 1672 3 3" xfId="8549" xr:uid="{8A766223-AEF7-46A1-91B0-7A04E107908B}"/>
    <cellStyle name="Style 1672 4" xfId="1393" xr:uid="{00000000-0005-0000-0000-0000C70E0000}"/>
    <cellStyle name="Style 1672 4 2" xfId="3377" xr:uid="{00000000-0005-0000-0000-0000C80E0000}"/>
    <cellStyle name="Style 1672 4 3" xfId="8550" xr:uid="{73DF722E-04E3-4C31-A612-15246A2D2053}"/>
    <cellStyle name="Style 1672 5" xfId="1688" xr:uid="{00000000-0005-0000-0000-0000C90E0000}"/>
    <cellStyle name="Style 1672 5 2" xfId="3615" xr:uid="{00000000-0005-0000-0000-0000CA0E0000}"/>
    <cellStyle name="Style 1672 6" xfId="1939" xr:uid="{00000000-0005-0000-0000-0000CB0E0000}"/>
    <cellStyle name="Style 1672 6 2" xfId="3849" xr:uid="{00000000-0005-0000-0000-0000CC0E0000}"/>
    <cellStyle name="Style 1672 7" xfId="2183" xr:uid="{00000000-0005-0000-0000-0000CD0E0000}"/>
    <cellStyle name="Style 1672 7 2" xfId="4084" xr:uid="{00000000-0005-0000-0000-0000CE0E0000}"/>
    <cellStyle name="Style 1672 8" xfId="2418" xr:uid="{00000000-0005-0000-0000-0000CF0E0000}"/>
    <cellStyle name="Style 1672 8 2" xfId="4319" xr:uid="{00000000-0005-0000-0000-0000D00E0000}"/>
    <cellStyle name="Style 1672 9" xfId="2665" xr:uid="{00000000-0005-0000-0000-0000D10E0000}"/>
    <cellStyle name="Style 1672 9 2" xfId="4554" xr:uid="{00000000-0005-0000-0000-0000D20E0000}"/>
    <cellStyle name="Style 1673" xfId="213" xr:uid="{00000000-0005-0000-0000-0000D30E0000}"/>
    <cellStyle name="Style 1673 10" xfId="2900" xr:uid="{00000000-0005-0000-0000-0000D40E0000}"/>
    <cellStyle name="Style 1673 10 2" xfId="4789" xr:uid="{00000000-0005-0000-0000-0000D50E0000}"/>
    <cellStyle name="Style 1673 11" xfId="3137" xr:uid="{00000000-0005-0000-0000-0000D60E0000}"/>
    <cellStyle name="Style 1673 11 2" xfId="5023" xr:uid="{00000000-0005-0000-0000-0000D70E0000}"/>
    <cellStyle name="Style 1673 12" xfId="5259" xr:uid="{00000000-0005-0000-0000-0000D80E0000}"/>
    <cellStyle name="Style 1673 12 2" xfId="6719" xr:uid="{00000000-0005-0000-0000-0000D80E0000}"/>
    <cellStyle name="Style 1673 13" xfId="5490" xr:uid="{00000000-0005-0000-0000-0000D90E0000}"/>
    <cellStyle name="Style 1673 13 2" xfId="6914" xr:uid="{00000000-0005-0000-0000-0000D90E0000}"/>
    <cellStyle name="Style 1673 14" xfId="5842" xr:uid="{00000000-0005-0000-0000-0000DA0E0000}"/>
    <cellStyle name="Style 1673 14 2" xfId="7262" xr:uid="{00000000-0005-0000-0000-0000DA0E0000}"/>
    <cellStyle name="Style 1673 15" xfId="6333" xr:uid="{00000000-0005-0000-0000-0000DB0E0000}"/>
    <cellStyle name="Style 1673 15 2" xfId="7611" xr:uid="{00000000-0005-0000-0000-0000DB0E0000}"/>
    <cellStyle name="Style 1673 2" xfId="447" xr:uid="{00000000-0005-0000-0000-0000DC0E0000}"/>
    <cellStyle name="Style 1673 2 2" xfId="920" xr:uid="{00000000-0005-0000-0000-0000DD0E0000}"/>
    <cellStyle name="Style 1673 2 2 2" xfId="8552" xr:uid="{D6624848-1CD0-435C-86CE-F950059360E5}"/>
    <cellStyle name="Style 1673 2 3" xfId="8551" xr:uid="{7057C6BA-F43F-4D4F-B557-2FCC671D0527}"/>
    <cellStyle name="Style 1673 3" xfId="681" xr:uid="{00000000-0005-0000-0000-0000DE0E0000}"/>
    <cellStyle name="Style 1673 3 2" xfId="1154" xr:uid="{00000000-0005-0000-0000-0000DF0E0000}"/>
    <cellStyle name="Style 1673 3 3" xfId="8553" xr:uid="{BE29B4C0-7310-4B96-969E-7E63F8A45076}"/>
    <cellStyle name="Style 1673 4" xfId="1394" xr:uid="{00000000-0005-0000-0000-0000E00E0000}"/>
    <cellStyle name="Style 1673 4 2" xfId="3378" xr:uid="{00000000-0005-0000-0000-0000E10E0000}"/>
    <cellStyle name="Style 1673 4 3" xfId="8554" xr:uid="{35788B71-BEEA-4D41-B196-F629A0FA535E}"/>
    <cellStyle name="Style 1673 5" xfId="1689" xr:uid="{00000000-0005-0000-0000-0000E20E0000}"/>
    <cellStyle name="Style 1673 5 2" xfId="3616" xr:uid="{00000000-0005-0000-0000-0000E30E0000}"/>
    <cellStyle name="Style 1673 6" xfId="1940" xr:uid="{00000000-0005-0000-0000-0000E40E0000}"/>
    <cellStyle name="Style 1673 6 2" xfId="3850" xr:uid="{00000000-0005-0000-0000-0000E50E0000}"/>
    <cellStyle name="Style 1673 7" xfId="2184" xr:uid="{00000000-0005-0000-0000-0000E60E0000}"/>
    <cellStyle name="Style 1673 7 2" xfId="4085" xr:uid="{00000000-0005-0000-0000-0000E70E0000}"/>
    <cellStyle name="Style 1673 8" xfId="2419" xr:uid="{00000000-0005-0000-0000-0000E80E0000}"/>
    <cellStyle name="Style 1673 8 2" xfId="4320" xr:uid="{00000000-0005-0000-0000-0000E90E0000}"/>
    <cellStyle name="Style 1673 9" xfId="2666" xr:uid="{00000000-0005-0000-0000-0000EA0E0000}"/>
    <cellStyle name="Style 1673 9 2" xfId="4555" xr:uid="{00000000-0005-0000-0000-0000EB0E0000}"/>
    <cellStyle name="Style 1684" xfId="8555" xr:uid="{DA41C94E-0594-46D8-A9CF-7AFE135498F2}"/>
    <cellStyle name="Style 1690" xfId="8556" xr:uid="{675D12EA-ECFB-4EB6-8339-0A457F8205CA}"/>
    <cellStyle name="Style 1694" xfId="8557" xr:uid="{5FE0F12B-FBE2-4C3D-9E4A-B5523A6E2ACF}"/>
    <cellStyle name="Style 1696" xfId="8558" xr:uid="{064C76E3-F94C-4970-8EDB-E2094A21745A}"/>
    <cellStyle name="Style 1698" xfId="8559" xr:uid="{296074A5-0238-4A23-B9B2-879B22C9A86C}"/>
    <cellStyle name="Style 1702" xfId="8560" xr:uid="{810CA450-D16A-4BEA-9973-75E949BBD63F}"/>
    <cellStyle name="Style 1706" xfId="8561" xr:uid="{16D31A96-90DE-428A-B580-F8C860ECC396}"/>
    <cellStyle name="Style 1710" xfId="8562" xr:uid="{124E0385-7FDE-4F17-8263-A6E2452E6BAD}"/>
    <cellStyle name="Style 1887" xfId="214" xr:uid="{00000000-0005-0000-0000-0000EC0E0000}"/>
    <cellStyle name="Style 1887 10" xfId="2901" xr:uid="{00000000-0005-0000-0000-0000ED0E0000}"/>
    <cellStyle name="Style 1887 10 2" xfId="4790" xr:uid="{00000000-0005-0000-0000-0000EE0E0000}"/>
    <cellStyle name="Style 1887 11" xfId="3138" xr:uid="{00000000-0005-0000-0000-0000EF0E0000}"/>
    <cellStyle name="Style 1887 11 2" xfId="5024" xr:uid="{00000000-0005-0000-0000-0000F00E0000}"/>
    <cellStyle name="Style 1887 12" xfId="5260" xr:uid="{00000000-0005-0000-0000-0000F10E0000}"/>
    <cellStyle name="Style 1887 12 2" xfId="6720" xr:uid="{00000000-0005-0000-0000-0000F10E0000}"/>
    <cellStyle name="Style 1887 13" xfId="5491" xr:uid="{00000000-0005-0000-0000-0000F20E0000}"/>
    <cellStyle name="Style 1887 13 2" xfId="6915" xr:uid="{00000000-0005-0000-0000-0000F20E0000}"/>
    <cellStyle name="Style 1887 14" xfId="5843" xr:uid="{00000000-0005-0000-0000-0000F30E0000}"/>
    <cellStyle name="Style 1887 14 2" xfId="7263" xr:uid="{00000000-0005-0000-0000-0000F30E0000}"/>
    <cellStyle name="Style 1887 15" xfId="6334" xr:uid="{00000000-0005-0000-0000-0000F40E0000}"/>
    <cellStyle name="Style 1887 15 2" xfId="7612" xr:uid="{00000000-0005-0000-0000-0000F40E0000}"/>
    <cellStyle name="Style 1887 2" xfId="448" xr:uid="{00000000-0005-0000-0000-0000F50E0000}"/>
    <cellStyle name="Style 1887 2 2" xfId="921" xr:uid="{00000000-0005-0000-0000-0000F60E0000}"/>
    <cellStyle name="Style 1887 2 2 2" xfId="8564" xr:uid="{94D15827-4D75-4506-BAB3-E06A5CC98BCF}"/>
    <cellStyle name="Style 1887 2 3" xfId="8563" xr:uid="{F1A6D6B0-AF15-4E2F-A83A-07F2E5545695}"/>
    <cellStyle name="Style 1887 3" xfId="682" xr:uid="{00000000-0005-0000-0000-0000F70E0000}"/>
    <cellStyle name="Style 1887 3 2" xfId="1155" xr:uid="{00000000-0005-0000-0000-0000F80E0000}"/>
    <cellStyle name="Style 1887 3 3" xfId="8565" xr:uid="{33C14BC8-EB9A-4200-B4EC-FF119F19424C}"/>
    <cellStyle name="Style 1887 4" xfId="1395" xr:uid="{00000000-0005-0000-0000-0000F90E0000}"/>
    <cellStyle name="Style 1887 4 2" xfId="3379" xr:uid="{00000000-0005-0000-0000-0000FA0E0000}"/>
    <cellStyle name="Style 1887 4 3" xfId="8566" xr:uid="{2B700476-6727-4ACC-BC34-A1FADA039D63}"/>
    <cellStyle name="Style 1887 5" xfId="1690" xr:uid="{00000000-0005-0000-0000-0000FB0E0000}"/>
    <cellStyle name="Style 1887 5 2" xfId="3617" xr:uid="{00000000-0005-0000-0000-0000FC0E0000}"/>
    <cellStyle name="Style 1887 6" xfId="1941" xr:uid="{00000000-0005-0000-0000-0000FD0E0000}"/>
    <cellStyle name="Style 1887 6 2" xfId="3851" xr:uid="{00000000-0005-0000-0000-0000FE0E0000}"/>
    <cellStyle name="Style 1887 7" xfId="2185" xr:uid="{00000000-0005-0000-0000-0000FF0E0000}"/>
    <cellStyle name="Style 1887 7 2" xfId="4086" xr:uid="{00000000-0005-0000-0000-0000000F0000}"/>
    <cellStyle name="Style 1887 8" xfId="2420" xr:uid="{00000000-0005-0000-0000-0000010F0000}"/>
    <cellStyle name="Style 1887 8 2" xfId="4321" xr:uid="{00000000-0005-0000-0000-0000020F0000}"/>
    <cellStyle name="Style 1887 9" xfId="2667" xr:uid="{00000000-0005-0000-0000-0000030F0000}"/>
    <cellStyle name="Style 1887 9 2" xfId="4556" xr:uid="{00000000-0005-0000-0000-0000040F0000}"/>
    <cellStyle name="Style 1888" xfId="215" xr:uid="{00000000-0005-0000-0000-0000050F0000}"/>
    <cellStyle name="Style 1888 10" xfId="2902" xr:uid="{00000000-0005-0000-0000-0000060F0000}"/>
    <cellStyle name="Style 1888 10 2" xfId="4791" xr:uid="{00000000-0005-0000-0000-0000070F0000}"/>
    <cellStyle name="Style 1888 11" xfId="3139" xr:uid="{00000000-0005-0000-0000-0000080F0000}"/>
    <cellStyle name="Style 1888 11 2" xfId="5025" xr:uid="{00000000-0005-0000-0000-0000090F0000}"/>
    <cellStyle name="Style 1888 12" xfId="5261" xr:uid="{00000000-0005-0000-0000-00000A0F0000}"/>
    <cellStyle name="Style 1888 12 2" xfId="6721" xr:uid="{00000000-0005-0000-0000-00000A0F0000}"/>
    <cellStyle name="Style 1888 13" xfId="5492" xr:uid="{00000000-0005-0000-0000-00000B0F0000}"/>
    <cellStyle name="Style 1888 13 2" xfId="6916" xr:uid="{00000000-0005-0000-0000-00000B0F0000}"/>
    <cellStyle name="Style 1888 14" xfId="5844" xr:uid="{00000000-0005-0000-0000-00000C0F0000}"/>
    <cellStyle name="Style 1888 14 2" xfId="7264" xr:uid="{00000000-0005-0000-0000-00000C0F0000}"/>
    <cellStyle name="Style 1888 15" xfId="6335" xr:uid="{00000000-0005-0000-0000-00000D0F0000}"/>
    <cellStyle name="Style 1888 15 2" xfId="7613" xr:uid="{00000000-0005-0000-0000-00000D0F0000}"/>
    <cellStyle name="Style 1888 2" xfId="449" xr:uid="{00000000-0005-0000-0000-00000E0F0000}"/>
    <cellStyle name="Style 1888 2 2" xfId="922" xr:uid="{00000000-0005-0000-0000-00000F0F0000}"/>
    <cellStyle name="Style 1888 2 2 2" xfId="8568" xr:uid="{7E0C5586-5ED3-48F0-AEE2-41DE8A6CC3E3}"/>
    <cellStyle name="Style 1888 2 3" xfId="8567" xr:uid="{EE649558-0301-42A8-8A4B-85AD366D692F}"/>
    <cellStyle name="Style 1888 3" xfId="683" xr:uid="{00000000-0005-0000-0000-0000100F0000}"/>
    <cellStyle name="Style 1888 3 2" xfId="1156" xr:uid="{00000000-0005-0000-0000-0000110F0000}"/>
    <cellStyle name="Style 1888 3 3" xfId="8569" xr:uid="{F341D2BD-6075-4E4F-B459-DE7139AA422E}"/>
    <cellStyle name="Style 1888 4" xfId="1396" xr:uid="{00000000-0005-0000-0000-0000120F0000}"/>
    <cellStyle name="Style 1888 4 2" xfId="3380" xr:uid="{00000000-0005-0000-0000-0000130F0000}"/>
    <cellStyle name="Style 1888 4 3" xfId="8570" xr:uid="{9258631F-DACA-4B18-B229-B09A81608596}"/>
    <cellStyle name="Style 1888 5" xfId="1691" xr:uid="{00000000-0005-0000-0000-0000140F0000}"/>
    <cellStyle name="Style 1888 5 2" xfId="3618" xr:uid="{00000000-0005-0000-0000-0000150F0000}"/>
    <cellStyle name="Style 1888 6" xfId="1942" xr:uid="{00000000-0005-0000-0000-0000160F0000}"/>
    <cellStyle name="Style 1888 6 2" xfId="3852" xr:uid="{00000000-0005-0000-0000-0000170F0000}"/>
    <cellStyle name="Style 1888 7" xfId="2186" xr:uid="{00000000-0005-0000-0000-0000180F0000}"/>
    <cellStyle name="Style 1888 7 2" xfId="4087" xr:uid="{00000000-0005-0000-0000-0000190F0000}"/>
    <cellStyle name="Style 1888 8" xfId="2421" xr:uid="{00000000-0005-0000-0000-00001A0F0000}"/>
    <cellStyle name="Style 1888 8 2" xfId="4322" xr:uid="{00000000-0005-0000-0000-00001B0F0000}"/>
    <cellStyle name="Style 1888 9" xfId="2668" xr:uid="{00000000-0005-0000-0000-00001C0F0000}"/>
    <cellStyle name="Style 1888 9 2" xfId="4557" xr:uid="{00000000-0005-0000-0000-00001D0F0000}"/>
    <cellStyle name="Style 1889" xfId="216" xr:uid="{00000000-0005-0000-0000-00001E0F0000}"/>
    <cellStyle name="Style 1889 10" xfId="2903" xr:uid="{00000000-0005-0000-0000-00001F0F0000}"/>
    <cellStyle name="Style 1889 10 2" xfId="4792" xr:uid="{00000000-0005-0000-0000-0000200F0000}"/>
    <cellStyle name="Style 1889 11" xfId="3140" xr:uid="{00000000-0005-0000-0000-0000210F0000}"/>
    <cellStyle name="Style 1889 11 2" xfId="5026" xr:uid="{00000000-0005-0000-0000-0000220F0000}"/>
    <cellStyle name="Style 1889 12" xfId="5262" xr:uid="{00000000-0005-0000-0000-0000230F0000}"/>
    <cellStyle name="Style 1889 12 2" xfId="6722" xr:uid="{00000000-0005-0000-0000-0000230F0000}"/>
    <cellStyle name="Style 1889 13" xfId="5493" xr:uid="{00000000-0005-0000-0000-0000240F0000}"/>
    <cellStyle name="Style 1889 13 2" xfId="6917" xr:uid="{00000000-0005-0000-0000-0000240F0000}"/>
    <cellStyle name="Style 1889 14" xfId="5845" xr:uid="{00000000-0005-0000-0000-0000250F0000}"/>
    <cellStyle name="Style 1889 14 2" xfId="7265" xr:uid="{00000000-0005-0000-0000-0000250F0000}"/>
    <cellStyle name="Style 1889 15" xfId="6336" xr:uid="{00000000-0005-0000-0000-0000260F0000}"/>
    <cellStyle name="Style 1889 15 2" xfId="7614" xr:uid="{00000000-0005-0000-0000-0000260F0000}"/>
    <cellStyle name="Style 1889 2" xfId="450" xr:uid="{00000000-0005-0000-0000-0000270F0000}"/>
    <cellStyle name="Style 1889 2 2" xfId="923" xr:uid="{00000000-0005-0000-0000-0000280F0000}"/>
    <cellStyle name="Style 1889 2 2 2" xfId="8572" xr:uid="{31DFB333-3ECE-4A1A-8B9E-FAC2FAA46195}"/>
    <cellStyle name="Style 1889 2 3" xfId="8571" xr:uid="{339FDCD7-91F4-4D43-B157-5FC73B9544DB}"/>
    <cellStyle name="Style 1889 3" xfId="684" xr:uid="{00000000-0005-0000-0000-0000290F0000}"/>
    <cellStyle name="Style 1889 3 2" xfId="1157" xr:uid="{00000000-0005-0000-0000-00002A0F0000}"/>
    <cellStyle name="Style 1889 3 3" xfId="8573" xr:uid="{B327A83C-5885-4319-B92E-11599841E6AB}"/>
    <cellStyle name="Style 1889 4" xfId="1397" xr:uid="{00000000-0005-0000-0000-00002B0F0000}"/>
    <cellStyle name="Style 1889 4 2" xfId="3381" xr:uid="{00000000-0005-0000-0000-00002C0F0000}"/>
    <cellStyle name="Style 1889 4 3" xfId="8574" xr:uid="{3D03140A-4829-4CBD-A3A8-BE1D9FAE095A}"/>
    <cellStyle name="Style 1889 5" xfId="1692" xr:uid="{00000000-0005-0000-0000-00002D0F0000}"/>
    <cellStyle name="Style 1889 5 2" xfId="3619" xr:uid="{00000000-0005-0000-0000-00002E0F0000}"/>
    <cellStyle name="Style 1889 6" xfId="1943" xr:uid="{00000000-0005-0000-0000-00002F0F0000}"/>
    <cellStyle name="Style 1889 6 2" xfId="3853" xr:uid="{00000000-0005-0000-0000-0000300F0000}"/>
    <cellStyle name="Style 1889 7" xfId="2187" xr:uid="{00000000-0005-0000-0000-0000310F0000}"/>
    <cellStyle name="Style 1889 7 2" xfId="4088" xr:uid="{00000000-0005-0000-0000-0000320F0000}"/>
    <cellStyle name="Style 1889 8" xfId="2422" xr:uid="{00000000-0005-0000-0000-0000330F0000}"/>
    <cellStyle name="Style 1889 8 2" xfId="4323" xr:uid="{00000000-0005-0000-0000-0000340F0000}"/>
    <cellStyle name="Style 1889 9" xfId="2669" xr:uid="{00000000-0005-0000-0000-0000350F0000}"/>
    <cellStyle name="Style 1889 9 2" xfId="4558" xr:uid="{00000000-0005-0000-0000-0000360F0000}"/>
    <cellStyle name="Style 1890" xfId="217" xr:uid="{00000000-0005-0000-0000-0000370F0000}"/>
    <cellStyle name="Style 1890 10" xfId="2904" xr:uid="{00000000-0005-0000-0000-0000380F0000}"/>
    <cellStyle name="Style 1890 10 2" xfId="4793" xr:uid="{00000000-0005-0000-0000-0000390F0000}"/>
    <cellStyle name="Style 1890 11" xfId="3141" xr:uid="{00000000-0005-0000-0000-00003A0F0000}"/>
    <cellStyle name="Style 1890 11 2" xfId="5027" xr:uid="{00000000-0005-0000-0000-00003B0F0000}"/>
    <cellStyle name="Style 1890 12" xfId="5263" xr:uid="{00000000-0005-0000-0000-00003C0F0000}"/>
    <cellStyle name="Style 1890 12 2" xfId="6723" xr:uid="{00000000-0005-0000-0000-00003C0F0000}"/>
    <cellStyle name="Style 1890 13" xfId="5494" xr:uid="{00000000-0005-0000-0000-00003D0F0000}"/>
    <cellStyle name="Style 1890 13 2" xfId="6918" xr:uid="{00000000-0005-0000-0000-00003D0F0000}"/>
    <cellStyle name="Style 1890 14" xfId="5846" xr:uid="{00000000-0005-0000-0000-00003E0F0000}"/>
    <cellStyle name="Style 1890 14 2" xfId="7266" xr:uid="{00000000-0005-0000-0000-00003E0F0000}"/>
    <cellStyle name="Style 1890 15" xfId="6337" xr:uid="{00000000-0005-0000-0000-00003F0F0000}"/>
    <cellStyle name="Style 1890 15 2" xfId="7615" xr:uid="{00000000-0005-0000-0000-00003F0F0000}"/>
    <cellStyle name="Style 1890 2" xfId="451" xr:uid="{00000000-0005-0000-0000-0000400F0000}"/>
    <cellStyle name="Style 1890 2 2" xfId="924" xr:uid="{00000000-0005-0000-0000-0000410F0000}"/>
    <cellStyle name="Style 1890 2 2 2" xfId="8576" xr:uid="{E3BF7AA6-6A4C-4A26-97F8-F7E7F04C49EB}"/>
    <cellStyle name="Style 1890 2 3" xfId="8575" xr:uid="{616D4A0B-9AEF-4D9E-83AD-13B89422E997}"/>
    <cellStyle name="Style 1890 3" xfId="685" xr:uid="{00000000-0005-0000-0000-0000420F0000}"/>
    <cellStyle name="Style 1890 3 2" xfId="1158" xr:uid="{00000000-0005-0000-0000-0000430F0000}"/>
    <cellStyle name="Style 1890 3 3" xfId="8577" xr:uid="{4FF09FFC-0EC6-4EA1-B459-CED608B2D192}"/>
    <cellStyle name="Style 1890 4" xfId="1398" xr:uid="{00000000-0005-0000-0000-0000440F0000}"/>
    <cellStyle name="Style 1890 4 2" xfId="3382" xr:uid="{00000000-0005-0000-0000-0000450F0000}"/>
    <cellStyle name="Style 1890 4 3" xfId="8578" xr:uid="{FF9AEF01-A6A3-4639-B668-7AE6607276F9}"/>
    <cellStyle name="Style 1890 5" xfId="1693" xr:uid="{00000000-0005-0000-0000-0000460F0000}"/>
    <cellStyle name="Style 1890 5 2" xfId="3620" xr:uid="{00000000-0005-0000-0000-0000470F0000}"/>
    <cellStyle name="Style 1890 6" xfId="1944" xr:uid="{00000000-0005-0000-0000-0000480F0000}"/>
    <cellStyle name="Style 1890 6 2" xfId="3854" xr:uid="{00000000-0005-0000-0000-0000490F0000}"/>
    <cellStyle name="Style 1890 7" xfId="2188" xr:uid="{00000000-0005-0000-0000-00004A0F0000}"/>
    <cellStyle name="Style 1890 7 2" xfId="4089" xr:uid="{00000000-0005-0000-0000-00004B0F0000}"/>
    <cellStyle name="Style 1890 8" xfId="2423" xr:uid="{00000000-0005-0000-0000-00004C0F0000}"/>
    <cellStyle name="Style 1890 8 2" xfId="4324" xr:uid="{00000000-0005-0000-0000-00004D0F0000}"/>
    <cellStyle name="Style 1890 9" xfId="2670" xr:uid="{00000000-0005-0000-0000-00004E0F0000}"/>
    <cellStyle name="Style 1890 9 2" xfId="4559" xr:uid="{00000000-0005-0000-0000-00004F0F0000}"/>
    <cellStyle name="Style 1891" xfId="218" xr:uid="{00000000-0005-0000-0000-0000500F0000}"/>
    <cellStyle name="Style 1891 10" xfId="2905" xr:uid="{00000000-0005-0000-0000-0000510F0000}"/>
    <cellStyle name="Style 1891 10 2" xfId="4794" xr:uid="{00000000-0005-0000-0000-0000520F0000}"/>
    <cellStyle name="Style 1891 11" xfId="3142" xr:uid="{00000000-0005-0000-0000-0000530F0000}"/>
    <cellStyle name="Style 1891 11 2" xfId="5028" xr:uid="{00000000-0005-0000-0000-0000540F0000}"/>
    <cellStyle name="Style 1891 12" xfId="5264" xr:uid="{00000000-0005-0000-0000-0000550F0000}"/>
    <cellStyle name="Style 1891 12 2" xfId="6724" xr:uid="{00000000-0005-0000-0000-0000550F0000}"/>
    <cellStyle name="Style 1891 13" xfId="5495" xr:uid="{00000000-0005-0000-0000-0000560F0000}"/>
    <cellStyle name="Style 1891 13 2" xfId="6919" xr:uid="{00000000-0005-0000-0000-0000560F0000}"/>
    <cellStyle name="Style 1891 14" xfId="5847" xr:uid="{00000000-0005-0000-0000-0000570F0000}"/>
    <cellStyle name="Style 1891 14 2" xfId="7267" xr:uid="{00000000-0005-0000-0000-0000570F0000}"/>
    <cellStyle name="Style 1891 15" xfId="6338" xr:uid="{00000000-0005-0000-0000-0000580F0000}"/>
    <cellStyle name="Style 1891 15 2" xfId="7616" xr:uid="{00000000-0005-0000-0000-0000580F0000}"/>
    <cellStyle name="Style 1891 2" xfId="452" xr:uid="{00000000-0005-0000-0000-0000590F0000}"/>
    <cellStyle name="Style 1891 2 2" xfId="925" xr:uid="{00000000-0005-0000-0000-00005A0F0000}"/>
    <cellStyle name="Style 1891 2 2 2" xfId="8580" xr:uid="{026A7CC8-1E1D-489B-A6B9-2F88339B3F82}"/>
    <cellStyle name="Style 1891 2 3" xfId="8579" xr:uid="{A70EEBC3-C36E-4C82-9EE9-D44E700B5292}"/>
    <cellStyle name="Style 1891 3" xfId="686" xr:uid="{00000000-0005-0000-0000-00005B0F0000}"/>
    <cellStyle name="Style 1891 3 2" xfId="1159" xr:uid="{00000000-0005-0000-0000-00005C0F0000}"/>
    <cellStyle name="Style 1891 3 3" xfId="8581" xr:uid="{00D87C52-FEE9-476D-B159-9BCE44760A6B}"/>
    <cellStyle name="Style 1891 4" xfId="1399" xr:uid="{00000000-0005-0000-0000-00005D0F0000}"/>
    <cellStyle name="Style 1891 4 2" xfId="3383" xr:uid="{00000000-0005-0000-0000-00005E0F0000}"/>
    <cellStyle name="Style 1891 4 3" xfId="8582" xr:uid="{155FDE8D-CFCC-4D75-B940-0FFAB835400A}"/>
    <cellStyle name="Style 1891 5" xfId="1694" xr:uid="{00000000-0005-0000-0000-00005F0F0000}"/>
    <cellStyle name="Style 1891 5 2" xfId="3621" xr:uid="{00000000-0005-0000-0000-0000600F0000}"/>
    <cellStyle name="Style 1891 6" xfId="1945" xr:uid="{00000000-0005-0000-0000-0000610F0000}"/>
    <cellStyle name="Style 1891 6 2" xfId="3855" xr:uid="{00000000-0005-0000-0000-0000620F0000}"/>
    <cellStyle name="Style 1891 7" xfId="2189" xr:uid="{00000000-0005-0000-0000-0000630F0000}"/>
    <cellStyle name="Style 1891 7 2" xfId="4090" xr:uid="{00000000-0005-0000-0000-0000640F0000}"/>
    <cellStyle name="Style 1891 8" xfId="2424" xr:uid="{00000000-0005-0000-0000-0000650F0000}"/>
    <cellStyle name="Style 1891 8 2" xfId="4325" xr:uid="{00000000-0005-0000-0000-0000660F0000}"/>
    <cellStyle name="Style 1891 9" xfId="2671" xr:uid="{00000000-0005-0000-0000-0000670F0000}"/>
    <cellStyle name="Style 1891 9 2" xfId="4560" xr:uid="{00000000-0005-0000-0000-0000680F0000}"/>
    <cellStyle name="Style 1892" xfId="219" xr:uid="{00000000-0005-0000-0000-0000690F0000}"/>
    <cellStyle name="Style 1892 10" xfId="2906" xr:uid="{00000000-0005-0000-0000-00006A0F0000}"/>
    <cellStyle name="Style 1892 10 2" xfId="4795" xr:uid="{00000000-0005-0000-0000-00006B0F0000}"/>
    <cellStyle name="Style 1892 11" xfId="3143" xr:uid="{00000000-0005-0000-0000-00006C0F0000}"/>
    <cellStyle name="Style 1892 11 2" xfId="5029" xr:uid="{00000000-0005-0000-0000-00006D0F0000}"/>
    <cellStyle name="Style 1892 12" xfId="5265" xr:uid="{00000000-0005-0000-0000-00006E0F0000}"/>
    <cellStyle name="Style 1892 12 2" xfId="6725" xr:uid="{00000000-0005-0000-0000-00006E0F0000}"/>
    <cellStyle name="Style 1892 13" xfId="5496" xr:uid="{00000000-0005-0000-0000-00006F0F0000}"/>
    <cellStyle name="Style 1892 13 2" xfId="6920" xr:uid="{00000000-0005-0000-0000-00006F0F0000}"/>
    <cellStyle name="Style 1892 14" xfId="5848" xr:uid="{00000000-0005-0000-0000-0000700F0000}"/>
    <cellStyle name="Style 1892 14 2" xfId="7268" xr:uid="{00000000-0005-0000-0000-0000700F0000}"/>
    <cellStyle name="Style 1892 15" xfId="6339" xr:uid="{00000000-0005-0000-0000-0000710F0000}"/>
    <cellStyle name="Style 1892 15 2" xfId="7617" xr:uid="{00000000-0005-0000-0000-0000710F0000}"/>
    <cellStyle name="Style 1892 2" xfId="453" xr:uid="{00000000-0005-0000-0000-0000720F0000}"/>
    <cellStyle name="Style 1892 2 2" xfId="926" xr:uid="{00000000-0005-0000-0000-0000730F0000}"/>
    <cellStyle name="Style 1892 2 2 2" xfId="8584" xr:uid="{48CB7B1A-7C87-4EAA-A5AF-C8A4A97A5E1F}"/>
    <cellStyle name="Style 1892 2 3" xfId="8583" xr:uid="{70C91E17-C967-42E7-A6A8-FEF15F6A3FD5}"/>
    <cellStyle name="Style 1892 3" xfId="687" xr:uid="{00000000-0005-0000-0000-0000740F0000}"/>
    <cellStyle name="Style 1892 3 2" xfId="1160" xr:uid="{00000000-0005-0000-0000-0000750F0000}"/>
    <cellStyle name="Style 1892 3 3" xfId="8585" xr:uid="{583A52F0-B6E4-4133-B1C5-959D2365AE91}"/>
    <cellStyle name="Style 1892 4" xfId="1400" xr:uid="{00000000-0005-0000-0000-0000760F0000}"/>
    <cellStyle name="Style 1892 4 2" xfId="3384" xr:uid="{00000000-0005-0000-0000-0000770F0000}"/>
    <cellStyle name="Style 1892 4 3" xfId="8586" xr:uid="{5D835996-AFC5-46BF-B45A-7375DD938D0A}"/>
    <cellStyle name="Style 1892 5" xfId="1695" xr:uid="{00000000-0005-0000-0000-0000780F0000}"/>
    <cellStyle name="Style 1892 5 2" xfId="3622" xr:uid="{00000000-0005-0000-0000-0000790F0000}"/>
    <cellStyle name="Style 1892 6" xfId="1946" xr:uid="{00000000-0005-0000-0000-00007A0F0000}"/>
    <cellStyle name="Style 1892 6 2" xfId="3856" xr:uid="{00000000-0005-0000-0000-00007B0F0000}"/>
    <cellStyle name="Style 1892 7" xfId="2190" xr:uid="{00000000-0005-0000-0000-00007C0F0000}"/>
    <cellStyle name="Style 1892 7 2" xfId="4091" xr:uid="{00000000-0005-0000-0000-00007D0F0000}"/>
    <cellStyle name="Style 1892 8" xfId="2425" xr:uid="{00000000-0005-0000-0000-00007E0F0000}"/>
    <cellStyle name="Style 1892 8 2" xfId="4326" xr:uid="{00000000-0005-0000-0000-00007F0F0000}"/>
    <cellStyle name="Style 1892 9" xfId="2672" xr:uid="{00000000-0005-0000-0000-0000800F0000}"/>
    <cellStyle name="Style 1892 9 2" xfId="4561" xr:uid="{00000000-0005-0000-0000-0000810F0000}"/>
    <cellStyle name="Style 1893" xfId="220" xr:uid="{00000000-0005-0000-0000-0000820F0000}"/>
    <cellStyle name="Style 1893 10" xfId="2907" xr:uid="{00000000-0005-0000-0000-0000830F0000}"/>
    <cellStyle name="Style 1893 10 2" xfId="4796" xr:uid="{00000000-0005-0000-0000-0000840F0000}"/>
    <cellStyle name="Style 1893 11" xfId="3144" xr:uid="{00000000-0005-0000-0000-0000850F0000}"/>
    <cellStyle name="Style 1893 11 2" xfId="5030" xr:uid="{00000000-0005-0000-0000-0000860F0000}"/>
    <cellStyle name="Style 1893 12" xfId="5266" xr:uid="{00000000-0005-0000-0000-0000870F0000}"/>
    <cellStyle name="Style 1893 12 2" xfId="6726" xr:uid="{00000000-0005-0000-0000-0000870F0000}"/>
    <cellStyle name="Style 1893 13" xfId="5497" xr:uid="{00000000-0005-0000-0000-0000880F0000}"/>
    <cellStyle name="Style 1893 13 2" xfId="6921" xr:uid="{00000000-0005-0000-0000-0000880F0000}"/>
    <cellStyle name="Style 1893 14" xfId="5849" xr:uid="{00000000-0005-0000-0000-0000890F0000}"/>
    <cellStyle name="Style 1893 14 2" xfId="7269" xr:uid="{00000000-0005-0000-0000-0000890F0000}"/>
    <cellStyle name="Style 1893 15" xfId="6340" xr:uid="{00000000-0005-0000-0000-00008A0F0000}"/>
    <cellStyle name="Style 1893 15 2" xfId="7618" xr:uid="{00000000-0005-0000-0000-00008A0F0000}"/>
    <cellStyle name="Style 1893 2" xfId="454" xr:uid="{00000000-0005-0000-0000-00008B0F0000}"/>
    <cellStyle name="Style 1893 2 2" xfId="927" xr:uid="{00000000-0005-0000-0000-00008C0F0000}"/>
    <cellStyle name="Style 1893 2 2 2" xfId="8588" xr:uid="{73B7DE0D-EFDA-4815-B041-1B968F2832D5}"/>
    <cellStyle name="Style 1893 2 3" xfId="8587" xr:uid="{B3BE15CE-12DD-4402-A35A-0FBCB6330E65}"/>
    <cellStyle name="Style 1893 3" xfId="688" xr:uid="{00000000-0005-0000-0000-00008D0F0000}"/>
    <cellStyle name="Style 1893 3 2" xfId="1161" xr:uid="{00000000-0005-0000-0000-00008E0F0000}"/>
    <cellStyle name="Style 1893 3 3" xfId="8589" xr:uid="{D82F923F-E049-482C-8FE2-5E1D2B3417AC}"/>
    <cellStyle name="Style 1893 4" xfId="1401" xr:uid="{00000000-0005-0000-0000-00008F0F0000}"/>
    <cellStyle name="Style 1893 4 2" xfId="3385" xr:uid="{00000000-0005-0000-0000-0000900F0000}"/>
    <cellStyle name="Style 1893 4 3" xfId="8590" xr:uid="{93104706-3EBC-470F-B579-E013D8BDAF88}"/>
    <cellStyle name="Style 1893 5" xfId="1696" xr:uid="{00000000-0005-0000-0000-0000910F0000}"/>
    <cellStyle name="Style 1893 5 2" xfId="3623" xr:uid="{00000000-0005-0000-0000-0000920F0000}"/>
    <cellStyle name="Style 1893 6" xfId="1947" xr:uid="{00000000-0005-0000-0000-0000930F0000}"/>
    <cellStyle name="Style 1893 6 2" xfId="3857" xr:uid="{00000000-0005-0000-0000-0000940F0000}"/>
    <cellStyle name="Style 1893 7" xfId="2191" xr:uid="{00000000-0005-0000-0000-0000950F0000}"/>
    <cellStyle name="Style 1893 7 2" xfId="4092" xr:uid="{00000000-0005-0000-0000-0000960F0000}"/>
    <cellStyle name="Style 1893 8" xfId="2426" xr:uid="{00000000-0005-0000-0000-0000970F0000}"/>
    <cellStyle name="Style 1893 8 2" xfId="4327" xr:uid="{00000000-0005-0000-0000-0000980F0000}"/>
    <cellStyle name="Style 1893 9" xfId="2673" xr:uid="{00000000-0005-0000-0000-0000990F0000}"/>
    <cellStyle name="Style 1893 9 2" xfId="4562" xr:uid="{00000000-0005-0000-0000-00009A0F0000}"/>
    <cellStyle name="Style 1894" xfId="221" xr:uid="{00000000-0005-0000-0000-00009B0F0000}"/>
    <cellStyle name="Style 1894 10" xfId="2908" xr:uid="{00000000-0005-0000-0000-00009C0F0000}"/>
    <cellStyle name="Style 1894 10 2" xfId="4797" xr:uid="{00000000-0005-0000-0000-00009D0F0000}"/>
    <cellStyle name="Style 1894 11" xfId="3145" xr:uid="{00000000-0005-0000-0000-00009E0F0000}"/>
    <cellStyle name="Style 1894 11 2" xfId="5031" xr:uid="{00000000-0005-0000-0000-00009F0F0000}"/>
    <cellStyle name="Style 1894 12" xfId="5267" xr:uid="{00000000-0005-0000-0000-0000A00F0000}"/>
    <cellStyle name="Style 1894 12 2" xfId="6727" xr:uid="{00000000-0005-0000-0000-0000A00F0000}"/>
    <cellStyle name="Style 1894 13" xfId="5498" xr:uid="{00000000-0005-0000-0000-0000A10F0000}"/>
    <cellStyle name="Style 1894 13 2" xfId="6922" xr:uid="{00000000-0005-0000-0000-0000A10F0000}"/>
    <cellStyle name="Style 1894 14" xfId="5850" xr:uid="{00000000-0005-0000-0000-0000A20F0000}"/>
    <cellStyle name="Style 1894 14 2" xfId="7270" xr:uid="{00000000-0005-0000-0000-0000A20F0000}"/>
    <cellStyle name="Style 1894 15" xfId="6341" xr:uid="{00000000-0005-0000-0000-0000A30F0000}"/>
    <cellStyle name="Style 1894 15 2" xfId="7619" xr:uid="{00000000-0005-0000-0000-0000A30F0000}"/>
    <cellStyle name="Style 1894 2" xfId="455" xr:uid="{00000000-0005-0000-0000-0000A40F0000}"/>
    <cellStyle name="Style 1894 2 2" xfId="928" xr:uid="{00000000-0005-0000-0000-0000A50F0000}"/>
    <cellStyle name="Style 1894 2 2 2" xfId="8592" xr:uid="{F869E31F-93C5-43CE-8E49-8163CAB74955}"/>
    <cellStyle name="Style 1894 2 3" xfId="8591" xr:uid="{1B9291A5-29FC-4227-9083-7A0AA268355E}"/>
    <cellStyle name="Style 1894 3" xfId="689" xr:uid="{00000000-0005-0000-0000-0000A60F0000}"/>
    <cellStyle name="Style 1894 3 2" xfId="1162" xr:uid="{00000000-0005-0000-0000-0000A70F0000}"/>
    <cellStyle name="Style 1894 3 3" xfId="8593" xr:uid="{C5989F80-42F2-4206-803D-063DBAD3DB96}"/>
    <cellStyle name="Style 1894 4" xfId="1402" xr:uid="{00000000-0005-0000-0000-0000A80F0000}"/>
    <cellStyle name="Style 1894 4 2" xfId="3386" xr:uid="{00000000-0005-0000-0000-0000A90F0000}"/>
    <cellStyle name="Style 1894 4 3" xfId="8594" xr:uid="{E9AE1897-BCD4-4F08-BD07-636101EC1677}"/>
    <cellStyle name="Style 1894 5" xfId="1697" xr:uid="{00000000-0005-0000-0000-0000AA0F0000}"/>
    <cellStyle name="Style 1894 5 2" xfId="3624" xr:uid="{00000000-0005-0000-0000-0000AB0F0000}"/>
    <cellStyle name="Style 1894 6" xfId="1948" xr:uid="{00000000-0005-0000-0000-0000AC0F0000}"/>
    <cellStyle name="Style 1894 6 2" xfId="3858" xr:uid="{00000000-0005-0000-0000-0000AD0F0000}"/>
    <cellStyle name="Style 1894 7" xfId="2192" xr:uid="{00000000-0005-0000-0000-0000AE0F0000}"/>
    <cellStyle name="Style 1894 7 2" xfId="4093" xr:uid="{00000000-0005-0000-0000-0000AF0F0000}"/>
    <cellStyle name="Style 1894 8" xfId="2427" xr:uid="{00000000-0005-0000-0000-0000B00F0000}"/>
    <cellStyle name="Style 1894 8 2" xfId="4328" xr:uid="{00000000-0005-0000-0000-0000B10F0000}"/>
    <cellStyle name="Style 1894 9" xfId="2674" xr:uid="{00000000-0005-0000-0000-0000B20F0000}"/>
    <cellStyle name="Style 1894 9 2" xfId="4563" xr:uid="{00000000-0005-0000-0000-0000B30F0000}"/>
    <cellStyle name="Style 1895" xfId="222" xr:uid="{00000000-0005-0000-0000-0000B40F0000}"/>
    <cellStyle name="Style 1895 10" xfId="2909" xr:uid="{00000000-0005-0000-0000-0000B50F0000}"/>
    <cellStyle name="Style 1895 10 2" xfId="4798" xr:uid="{00000000-0005-0000-0000-0000B60F0000}"/>
    <cellStyle name="Style 1895 11" xfId="3146" xr:uid="{00000000-0005-0000-0000-0000B70F0000}"/>
    <cellStyle name="Style 1895 11 2" xfId="5032" xr:uid="{00000000-0005-0000-0000-0000B80F0000}"/>
    <cellStyle name="Style 1895 12" xfId="5268" xr:uid="{00000000-0005-0000-0000-0000B90F0000}"/>
    <cellStyle name="Style 1895 12 2" xfId="6728" xr:uid="{00000000-0005-0000-0000-0000B90F0000}"/>
    <cellStyle name="Style 1895 13" xfId="5499" xr:uid="{00000000-0005-0000-0000-0000BA0F0000}"/>
    <cellStyle name="Style 1895 13 2" xfId="6923" xr:uid="{00000000-0005-0000-0000-0000BA0F0000}"/>
    <cellStyle name="Style 1895 14" xfId="5851" xr:uid="{00000000-0005-0000-0000-0000BB0F0000}"/>
    <cellStyle name="Style 1895 14 2" xfId="7271" xr:uid="{00000000-0005-0000-0000-0000BB0F0000}"/>
    <cellStyle name="Style 1895 15" xfId="6342" xr:uid="{00000000-0005-0000-0000-0000BC0F0000}"/>
    <cellStyle name="Style 1895 15 2" xfId="7620" xr:uid="{00000000-0005-0000-0000-0000BC0F0000}"/>
    <cellStyle name="Style 1895 2" xfId="456" xr:uid="{00000000-0005-0000-0000-0000BD0F0000}"/>
    <cellStyle name="Style 1895 2 2" xfId="929" xr:uid="{00000000-0005-0000-0000-0000BE0F0000}"/>
    <cellStyle name="Style 1895 2 2 2" xfId="8596" xr:uid="{C2719134-4948-412B-9A5D-978AC244F5ED}"/>
    <cellStyle name="Style 1895 2 3" xfId="8595" xr:uid="{9DB310B9-7C79-4F0E-B061-D8109636702D}"/>
    <cellStyle name="Style 1895 3" xfId="690" xr:uid="{00000000-0005-0000-0000-0000BF0F0000}"/>
    <cellStyle name="Style 1895 3 2" xfId="1163" xr:uid="{00000000-0005-0000-0000-0000C00F0000}"/>
    <cellStyle name="Style 1895 3 3" xfId="8597" xr:uid="{5162CA6E-A0E3-4340-BC56-FA9AD353968A}"/>
    <cellStyle name="Style 1895 4" xfId="1403" xr:uid="{00000000-0005-0000-0000-0000C10F0000}"/>
    <cellStyle name="Style 1895 4 2" xfId="3387" xr:uid="{00000000-0005-0000-0000-0000C20F0000}"/>
    <cellStyle name="Style 1895 4 3" xfId="8598" xr:uid="{2FE328B1-AC24-4C94-A37B-0C5970975749}"/>
    <cellStyle name="Style 1895 5" xfId="1698" xr:uid="{00000000-0005-0000-0000-0000C30F0000}"/>
    <cellStyle name="Style 1895 5 2" xfId="3625" xr:uid="{00000000-0005-0000-0000-0000C40F0000}"/>
    <cellStyle name="Style 1895 6" xfId="1949" xr:uid="{00000000-0005-0000-0000-0000C50F0000}"/>
    <cellStyle name="Style 1895 6 2" xfId="3859" xr:uid="{00000000-0005-0000-0000-0000C60F0000}"/>
    <cellStyle name="Style 1895 7" xfId="2193" xr:uid="{00000000-0005-0000-0000-0000C70F0000}"/>
    <cellStyle name="Style 1895 7 2" xfId="4094" xr:uid="{00000000-0005-0000-0000-0000C80F0000}"/>
    <cellStyle name="Style 1895 8" xfId="2428" xr:uid="{00000000-0005-0000-0000-0000C90F0000}"/>
    <cellStyle name="Style 1895 8 2" xfId="4329" xr:uid="{00000000-0005-0000-0000-0000CA0F0000}"/>
    <cellStyle name="Style 1895 9" xfId="2675" xr:uid="{00000000-0005-0000-0000-0000CB0F0000}"/>
    <cellStyle name="Style 1895 9 2" xfId="4564" xr:uid="{00000000-0005-0000-0000-0000CC0F0000}"/>
    <cellStyle name="Style 297" xfId="223" xr:uid="{00000000-0005-0000-0000-0000CD0F0000}"/>
    <cellStyle name="Style 297 10" xfId="2910" xr:uid="{00000000-0005-0000-0000-0000CE0F0000}"/>
    <cellStyle name="Style 297 10 2" xfId="4799" xr:uid="{00000000-0005-0000-0000-0000CF0F0000}"/>
    <cellStyle name="Style 297 11" xfId="3147" xr:uid="{00000000-0005-0000-0000-0000D00F0000}"/>
    <cellStyle name="Style 297 11 2" xfId="5033" xr:uid="{00000000-0005-0000-0000-0000D10F0000}"/>
    <cellStyle name="Style 297 12" xfId="5269" xr:uid="{00000000-0005-0000-0000-0000D20F0000}"/>
    <cellStyle name="Style 297 12 2" xfId="6729" xr:uid="{00000000-0005-0000-0000-0000D20F0000}"/>
    <cellStyle name="Style 297 13" xfId="5500" xr:uid="{00000000-0005-0000-0000-0000D30F0000}"/>
    <cellStyle name="Style 297 13 2" xfId="6924" xr:uid="{00000000-0005-0000-0000-0000D30F0000}"/>
    <cellStyle name="Style 297 14" xfId="5691" xr:uid="{00000000-0005-0000-0000-0000D40F0000}"/>
    <cellStyle name="Style 297 14 2" xfId="7111" xr:uid="{00000000-0005-0000-0000-0000D40F0000}"/>
    <cellStyle name="Style 297 15" xfId="5852" xr:uid="{00000000-0005-0000-0000-0000D50F0000}"/>
    <cellStyle name="Style 297 15 2" xfId="7272" xr:uid="{00000000-0005-0000-0000-0000D50F0000}"/>
    <cellStyle name="Style 297 16" xfId="6034" xr:uid="{00000000-0005-0000-0000-0000D60F0000}"/>
    <cellStyle name="Style 297 16 2" xfId="7454" xr:uid="{00000000-0005-0000-0000-0000D60F0000}"/>
    <cellStyle name="Style 297 17" xfId="6343" xr:uid="{00000000-0005-0000-0000-0000D70F0000}"/>
    <cellStyle name="Style 297 17 2" xfId="7621" xr:uid="{00000000-0005-0000-0000-0000D70F0000}"/>
    <cellStyle name="Style 297 2" xfId="457" xr:uid="{00000000-0005-0000-0000-0000D80F0000}"/>
    <cellStyle name="Style 297 2 2" xfId="930" xr:uid="{00000000-0005-0000-0000-0000D90F0000}"/>
    <cellStyle name="Style 297 2 2 2" xfId="8600" xr:uid="{CAD284FA-D47C-4E34-B2D9-9B612BC553B4}"/>
    <cellStyle name="Style 297 2 3" xfId="8599" xr:uid="{11A9A173-851B-455E-8504-712C7FF3485F}"/>
    <cellStyle name="Style 297 3" xfId="691" xr:uid="{00000000-0005-0000-0000-0000DA0F0000}"/>
    <cellStyle name="Style 297 3 2" xfId="1164" xr:uid="{00000000-0005-0000-0000-0000DB0F0000}"/>
    <cellStyle name="Style 297 3 3" xfId="8601" xr:uid="{9C8B8101-34A0-424B-98D3-90DE0097511F}"/>
    <cellStyle name="Style 297 4" xfId="1404" xr:uid="{00000000-0005-0000-0000-0000DC0F0000}"/>
    <cellStyle name="Style 297 4 2" xfId="3388" xr:uid="{00000000-0005-0000-0000-0000DD0F0000}"/>
    <cellStyle name="Style 297 4 3" xfId="8602" xr:uid="{0CF0CDE4-AC98-423E-9C7C-980718B25C10}"/>
    <cellStyle name="Style 297 5" xfId="1699" xr:uid="{00000000-0005-0000-0000-0000DE0F0000}"/>
    <cellStyle name="Style 297 5 2" xfId="3626" xr:uid="{00000000-0005-0000-0000-0000DF0F0000}"/>
    <cellStyle name="Style 297 6" xfId="1950" xr:uid="{00000000-0005-0000-0000-0000E00F0000}"/>
    <cellStyle name="Style 297 6 2" xfId="3860" xr:uid="{00000000-0005-0000-0000-0000E10F0000}"/>
    <cellStyle name="Style 297 7" xfId="2194" xr:uid="{00000000-0005-0000-0000-0000E20F0000}"/>
    <cellStyle name="Style 297 7 2" xfId="4095" xr:uid="{00000000-0005-0000-0000-0000E30F0000}"/>
    <cellStyle name="Style 297 8" xfId="2429" xr:uid="{00000000-0005-0000-0000-0000E40F0000}"/>
    <cellStyle name="Style 297 8 2" xfId="4330" xr:uid="{00000000-0005-0000-0000-0000E50F0000}"/>
    <cellStyle name="Style 297 9" xfId="2676" xr:uid="{00000000-0005-0000-0000-0000E60F0000}"/>
    <cellStyle name="Style 297 9 2" xfId="4565" xr:uid="{00000000-0005-0000-0000-0000E70F0000}"/>
    <cellStyle name="Style 300" xfId="224" xr:uid="{00000000-0005-0000-0000-0000E80F0000}"/>
    <cellStyle name="Style 300 10" xfId="2911" xr:uid="{00000000-0005-0000-0000-0000E90F0000}"/>
    <cellStyle name="Style 300 10 2" xfId="4800" xr:uid="{00000000-0005-0000-0000-0000EA0F0000}"/>
    <cellStyle name="Style 300 11" xfId="3148" xr:uid="{00000000-0005-0000-0000-0000EB0F0000}"/>
    <cellStyle name="Style 300 11 2" xfId="5034" xr:uid="{00000000-0005-0000-0000-0000EC0F0000}"/>
    <cellStyle name="Style 300 12" xfId="5270" xr:uid="{00000000-0005-0000-0000-0000ED0F0000}"/>
    <cellStyle name="Style 300 12 2" xfId="6730" xr:uid="{00000000-0005-0000-0000-0000ED0F0000}"/>
    <cellStyle name="Style 300 13" xfId="5501" xr:uid="{00000000-0005-0000-0000-0000EE0F0000}"/>
    <cellStyle name="Style 300 13 2" xfId="6925" xr:uid="{00000000-0005-0000-0000-0000EE0F0000}"/>
    <cellStyle name="Style 300 14" xfId="5692" xr:uid="{00000000-0005-0000-0000-0000EF0F0000}"/>
    <cellStyle name="Style 300 14 2" xfId="7112" xr:uid="{00000000-0005-0000-0000-0000EF0F0000}"/>
    <cellStyle name="Style 300 15" xfId="5853" xr:uid="{00000000-0005-0000-0000-0000F00F0000}"/>
    <cellStyle name="Style 300 15 2" xfId="7273" xr:uid="{00000000-0005-0000-0000-0000F00F0000}"/>
    <cellStyle name="Style 300 16" xfId="6035" xr:uid="{00000000-0005-0000-0000-0000F10F0000}"/>
    <cellStyle name="Style 300 16 2" xfId="7455" xr:uid="{00000000-0005-0000-0000-0000F10F0000}"/>
    <cellStyle name="Style 300 17" xfId="6344" xr:uid="{00000000-0005-0000-0000-0000F20F0000}"/>
    <cellStyle name="Style 300 17 2" xfId="7622" xr:uid="{00000000-0005-0000-0000-0000F20F0000}"/>
    <cellStyle name="Style 300 2" xfId="458" xr:uid="{00000000-0005-0000-0000-0000F30F0000}"/>
    <cellStyle name="Style 300 2 2" xfId="931" xr:uid="{00000000-0005-0000-0000-0000F40F0000}"/>
    <cellStyle name="Style 300 2 2 2" xfId="8604" xr:uid="{F1603EE0-56AF-4101-854B-CAA9E3D310C1}"/>
    <cellStyle name="Style 300 2 3" xfId="8603" xr:uid="{40FF0CDF-4E71-461C-BAB8-4520D90A680A}"/>
    <cellStyle name="Style 300 3" xfId="692" xr:uid="{00000000-0005-0000-0000-0000F50F0000}"/>
    <cellStyle name="Style 300 3 2" xfId="1165" xr:uid="{00000000-0005-0000-0000-0000F60F0000}"/>
    <cellStyle name="Style 300 3 3" xfId="8605" xr:uid="{0EFE554E-B356-4E46-8B27-59CD8A670520}"/>
    <cellStyle name="Style 300 4" xfId="1405" xr:uid="{00000000-0005-0000-0000-0000F70F0000}"/>
    <cellStyle name="Style 300 4 2" xfId="3389" xr:uid="{00000000-0005-0000-0000-0000F80F0000}"/>
    <cellStyle name="Style 300 4 3" xfId="8606" xr:uid="{98AD7449-2439-4196-8174-C90A1D93FF15}"/>
    <cellStyle name="Style 300 5" xfId="1700" xr:uid="{00000000-0005-0000-0000-0000F90F0000}"/>
    <cellStyle name="Style 300 5 2" xfId="3627" xr:uid="{00000000-0005-0000-0000-0000FA0F0000}"/>
    <cellStyle name="Style 300 6" xfId="1951" xr:uid="{00000000-0005-0000-0000-0000FB0F0000}"/>
    <cellStyle name="Style 300 6 2" xfId="3861" xr:uid="{00000000-0005-0000-0000-0000FC0F0000}"/>
    <cellStyle name="Style 300 7" xfId="2195" xr:uid="{00000000-0005-0000-0000-0000FD0F0000}"/>
    <cellStyle name="Style 300 7 2" xfId="4096" xr:uid="{00000000-0005-0000-0000-0000FE0F0000}"/>
    <cellStyle name="Style 300 8" xfId="2430" xr:uid="{00000000-0005-0000-0000-0000FF0F0000}"/>
    <cellStyle name="Style 300 8 2" xfId="4331" xr:uid="{00000000-0005-0000-0000-000000100000}"/>
    <cellStyle name="Style 300 9" xfId="2677" xr:uid="{00000000-0005-0000-0000-000001100000}"/>
    <cellStyle name="Style 300 9 2" xfId="4566" xr:uid="{00000000-0005-0000-0000-000002100000}"/>
    <cellStyle name="Style 385" xfId="225" xr:uid="{00000000-0005-0000-0000-000003100000}"/>
    <cellStyle name="Style 385 10" xfId="2912" xr:uid="{00000000-0005-0000-0000-000004100000}"/>
    <cellStyle name="Style 385 10 2" xfId="4801" xr:uid="{00000000-0005-0000-0000-000005100000}"/>
    <cellStyle name="Style 385 11" xfId="3149" xr:uid="{00000000-0005-0000-0000-000006100000}"/>
    <cellStyle name="Style 385 11 2" xfId="5035" xr:uid="{00000000-0005-0000-0000-000007100000}"/>
    <cellStyle name="Style 385 12" xfId="5271" xr:uid="{00000000-0005-0000-0000-000008100000}"/>
    <cellStyle name="Style 385 12 2" xfId="6731" xr:uid="{00000000-0005-0000-0000-000008100000}"/>
    <cellStyle name="Style 385 13" xfId="5693" xr:uid="{00000000-0005-0000-0000-000009100000}"/>
    <cellStyle name="Style 385 13 2" xfId="7113" xr:uid="{00000000-0005-0000-0000-000009100000}"/>
    <cellStyle name="Style 385 14" xfId="5854" xr:uid="{00000000-0005-0000-0000-00000A100000}"/>
    <cellStyle name="Style 385 14 2" xfId="7274" xr:uid="{00000000-0005-0000-0000-00000A100000}"/>
    <cellStyle name="Style 385 15" xfId="6345" xr:uid="{00000000-0005-0000-0000-00000B100000}"/>
    <cellStyle name="Style 385 15 2" xfId="7623" xr:uid="{00000000-0005-0000-0000-00000B100000}"/>
    <cellStyle name="Style 385 2" xfId="459" xr:uid="{00000000-0005-0000-0000-00000C100000}"/>
    <cellStyle name="Style 385 2 2" xfId="932" xr:uid="{00000000-0005-0000-0000-00000D100000}"/>
    <cellStyle name="Style 385 2 3" xfId="8607" xr:uid="{197D0046-F81E-41CE-8FF9-9F16AB3D0B42}"/>
    <cellStyle name="Style 385 3" xfId="693" xr:uid="{00000000-0005-0000-0000-00000E100000}"/>
    <cellStyle name="Style 385 3 2" xfId="1166" xr:uid="{00000000-0005-0000-0000-00000F100000}"/>
    <cellStyle name="Style 385 3 3" xfId="8608" xr:uid="{C774F967-8F73-41BA-9BC8-31F695D1590C}"/>
    <cellStyle name="Style 385 4" xfId="1406" xr:uid="{00000000-0005-0000-0000-000010100000}"/>
    <cellStyle name="Style 385 4 2" xfId="3390" xr:uid="{00000000-0005-0000-0000-000011100000}"/>
    <cellStyle name="Style 385 5" xfId="1701" xr:uid="{00000000-0005-0000-0000-000012100000}"/>
    <cellStyle name="Style 385 5 2" xfId="3628" xr:uid="{00000000-0005-0000-0000-000013100000}"/>
    <cellStyle name="Style 385 6" xfId="1952" xr:uid="{00000000-0005-0000-0000-000014100000}"/>
    <cellStyle name="Style 385 6 2" xfId="3862" xr:uid="{00000000-0005-0000-0000-000015100000}"/>
    <cellStyle name="Style 385 7" xfId="2196" xr:uid="{00000000-0005-0000-0000-000016100000}"/>
    <cellStyle name="Style 385 7 2" xfId="4097" xr:uid="{00000000-0005-0000-0000-000017100000}"/>
    <cellStyle name="Style 385 8" xfId="2431" xr:uid="{00000000-0005-0000-0000-000018100000}"/>
    <cellStyle name="Style 385 8 2" xfId="4332" xr:uid="{00000000-0005-0000-0000-000019100000}"/>
    <cellStyle name="Style 385 9" xfId="2678" xr:uid="{00000000-0005-0000-0000-00001A100000}"/>
    <cellStyle name="Style 385 9 2" xfId="4567" xr:uid="{00000000-0005-0000-0000-00001B100000}"/>
    <cellStyle name="Style 392" xfId="226" xr:uid="{00000000-0005-0000-0000-00001C100000}"/>
    <cellStyle name="Style 392 10" xfId="2913" xr:uid="{00000000-0005-0000-0000-00001D100000}"/>
    <cellStyle name="Style 392 10 2" xfId="4802" xr:uid="{00000000-0005-0000-0000-00001E100000}"/>
    <cellStyle name="Style 392 11" xfId="3150" xr:uid="{00000000-0005-0000-0000-00001F100000}"/>
    <cellStyle name="Style 392 11 2" xfId="5036" xr:uid="{00000000-0005-0000-0000-000020100000}"/>
    <cellStyle name="Style 392 12" xfId="5272" xr:uid="{00000000-0005-0000-0000-000021100000}"/>
    <cellStyle name="Style 392 12 2" xfId="6732" xr:uid="{00000000-0005-0000-0000-000021100000}"/>
    <cellStyle name="Style 392 13" xfId="5694" xr:uid="{00000000-0005-0000-0000-000022100000}"/>
    <cellStyle name="Style 392 13 2" xfId="7114" xr:uid="{00000000-0005-0000-0000-000022100000}"/>
    <cellStyle name="Style 392 14" xfId="5855" xr:uid="{00000000-0005-0000-0000-000023100000}"/>
    <cellStyle name="Style 392 14 2" xfId="7275" xr:uid="{00000000-0005-0000-0000-000023100000}"/>
    <cellStyle name="Style 392 15" xfId="6346" xr:uid="{00000000-0005-0000-0000-000024100000}"/>
    <cellStyle name="Style 392 15 2" xfId="7624" xr:uid="{00000000-0005-0000-0000-000024100000}"/>
    <cellStyle name="Style 392 2" xfId="460" xr:uid="{00000000-0005-0000-0000-000025100000}"/>
    <cellStyle name="Style 392 2 2" xfId="933" xr:uid="{00000000-0005-0000-0000-000026100000}"/>
    <cellStyle name="Style 392 2 3" xfId="8609" xr:uid="{16838270-467F-4CD6-AEDF-2D016B8E5E60}"/>
    <cellStyle name="Style 392 3" xfId="694" xr:uid="{00000000-0005-0000-0000-000027100000}"/>
    <cellStyle name="Style 392 3 2" xfId="1167" xr:uid="{00000000-0005-0000-0000-000028100000}"/>
    <cellStyle name="Style 392 3 3" xfId="8610" xr:uid="{E97D1F28-3ABC-45EC-9BA1-22934AA7D59C}"/>
    <cellStyle name="Style 392 4" xfId="1407" xr:uid="{00000000-0005-0000-0000-000029100000}"/>
    <cellStyle name="Style 392 4 2" xfId="3391" xr:uid="{00000000-0005-0000-0000-00002A100000}"/>
    <cellStyle name="Style 392 5" xfId="1702" xr:uid="{00000000-0005-0000-0000-00002B100000}"/>
    <cellStyle name="Style 392 5 2" xfId="3629" xr:uid="{00000000-0005-0000-0000-00002C100000}"/>
    <cellStyle name="Style 392 6" xfId="1953" xr:uid="{00000000-0005-0000-0000-00002D100000}"/>
    <cellStyle name="Style 392 6 2" xfId="3863" xr:uid="{00000000-0005-0000-0000-00002E100000}"/>
    <cellStyle name="Style 392 7" xfId="2197" xr:uid="{00000000-0005-0000-0000-00002F100000}"/>
    <cellStyle name="Style 392 7 2" xfId="4098" xr:uid="{00000000-0005-0000-0000-000030100000}"/>
    <cellStyle name="Style 392 8" xfId="2432" xr:uid="{00000000-0005-0000-0000-000031100000}"/>
    <cellStyle name="Style 392 8 2" xfId="4333" xr:uid="{00000000-0005-0000-0000-000032100000}"/>
    <cellStyle name="Style 392 9" xfId="2679" xr:uid="{00000000-0005-0000-0000-000033100000}"/>
    <cellStyle name="Style 392 9 2" xfId="4568" xr:uid="{00000000-0005-0000-0000-000034100000}"/>
    <cellStyle name="Style 399" xfId="227" xr:uid="{00000000-0005-0000-0000-000035100000}"/>
    <cellStyle name="Style 399 10" xfId="2914" xr:uid="{00000000-0005-0000-0000-000036100000}"/>
    <cellStyle name="Style 399 10 2" xfId="4803" xr:uid="{00000000-0005-0000-0000-000037100000}"/>
    <cellStyle name="Style 399 11" xfId="3151" xr:uid="{00000000-0005-0000-0000-000038100000}"/>
    <cellStyle name="Style 399 11 2" xfId="5037" xr:uid="{00000000-0005-0000-0000-000039100000}"/>
    <cellStyle name="Style 399 12" xfId="5273" xr:uid="{00000000-0005-0000-0000-00003A100000}"/>
    <cellStyle name="Style 399 12 2" xfId="6733" xr:uid="{00000000-0005-0000-0000-00003A100000}"/>
    <cellStyle name="Style 399 13" xfId="5695" xr:uid="{00000000-0005-0000-0000-00003B100000}"/>
    <cellStyle name="Style 399 13 2" xfId="7115" xr:uid="{00000000-0005-0000-0000-00003B100000}"/>
    <cellStyle name="Style 399 14" xfId="5856" xr:uid="{00000000-0005-0000-0000-00003C100000}"/>
    <cellStyle name="Style 399 14 2" xfId="7276" xr:uid="{00000000-0005-0000-0000-00003C100000}"/>
    <cellStyle name="Style 399 15" xfId="6347" xr:uid="{00000000-0005-0000-0000-00003D100000}"/>
    <cellStyle name="Style 399 15 2" xfId="7625" xr:uid="{00000000-0005-0000-0000-00003D100000}"/>
    <cellStyle name="Style 399 2" xfId="461" xr:uid="{00000000-0005-0000-0000-00003E100000}"/>
    <cellStyle name="Style 399 2 2" xfId="934" xr:uid="{00000000-0005-0000-0000-00003F100000}"/>
    <cellStyle name="Style 399 2 3" xfId="8611" xr:uid="{C776F0F7-4922-42B1-968C-136E50439045}"/>
    <cellStyle name="Style 399 3" xfId="695" xr:uid="{00000000-0005-0000-0000-000040100000}"/>
    <cellStyle name="Style 399 3 2" xfId="1168" xr:uid="{00000000-0005-0000-0000-000041100000}"/>
    <cellStyle name="Style 399 3 3" xfId="8612" xr:uid="{AA1F14E3-6FA7-43AC-B671-486C8AD27CA5}"/>
    <cellStyle name="Style 399 4" xfId="1408" xr:uid="{00000000-0005-0000-0000-000042100000}"/>
    <cellStyle name="Style 399 4 2" xfId="3392" xr:uid="{00000000-0005-0000-0000-000043100000}"/>
    <cellStyle name="Style 399 5" xfId="1703" xr:uid="{00000000-0005-0000-0000-000044100000}"/>
    <cellStyle name="Style 399 5 2" xfId="3630" xr:uid="{00000000-0005-0000-0000-000045100000}"/>
    <cellStyle name="Style 399 6" xfId="1954" xr:uid="{00000000-0005-0000-0000-000046100000}"/>
    <cellStyle name="Style 399 6 2" xfId="3864" xr:uid="{00000000-0005-0000-0000-000047100000}"/>
    <cellStyle name="Style 399 7" xfId="2198" xr:uid="{00000000-0005-0000-0000-000048100000}"/>
    <cellStyle name="Style 399 7 2" xfId="4099" xr:uid="{00000000-0005-0000-0000-000049100000}"/>
    <cellStyle name="Style 399 8" xfId="2433" xr:uid="{00000000-0005-0000-0000-00004A100000}"/>
    <cellStyle name="Style 399 8 2" xfId="4334" xr:uid="{00000000-0005-0000-0000-00004B100000}"/>
    <cellStyle name="Style 399 9" xfId="2680" xr:uid="{00000000-0005-0000-0000-00004C100000}"/>
    <cellStyle name="Style 399 9 2" xfId="4569" xr:uid="{00000000-0005-0000-0000-00004D100000}"/>
    <cellStyle name="Style 528" xfId="228" xr:uid="{00000000-0005-0000-0000-00004E100000}"/>
    <cellStyle name="Style 528 10" xfId="2915" xr:uid="{00000000-0005-0000-0000-00004F100000}"/>
    <cellStyle name="Style 528 10 2" xfId="4804" xr:uid="{00000000-0005-0000-0000-000050100000}"/>
    <cellStyle name="Style 528 11" xfId="3152" xr:uid="{00000000-0005-0000-0000-000051100000}"/>
    <cellStyle name="Style 528 11 2" xfId="5038" xr:uid="{00000000-0005-0000-0000-000052100000}"/>
    <cellStyle name="Style 528 12" xfId="5274" xr:uid="{00000000-0005-0000-0000-000053100000}"/>
    <cellStyle name="Style 528 12 2" xfId="6734" xr:uid="{00000000-0005-0000-0000-000053100000}"/>
    <cellStyle name="Style 528 13" xfId="5502" xr:uid="{00000000-0005-0000-0000-000054100000}"/>
    <cellStyle name="Style 528 13 2" xfId="6926" xr:uid="{00000000-0005-0000-0000-000054100000}"/>
    <cellStyle name="Style 528 14" xfId="5857" xr:uid="{00000000-0005-0000-0000-000055100000}"/>
    <cellStyle name="Style 528 14 2" xfId="7277" xr:uid="{00000000-0005-0000-0000-000055100000}"/>
    <cellStyle name="Style 528 15" xfId="6348" xr:uid="{00000000-0005-0000-0000-000056100000}"/>
    <cellStyle name="Style 528 15 2" xfId="7626" xr:uid="{00000000-0005-0000-0000-000056100000}"/>
    <cellStyle name="Style 528 2" xfId="462" xr:uid="{00000000-0005-0000-0000-000057100000}"/>
    <cellStyle name="Style 528 2 2" xfId="935" xr:uid="{00000000-0005-0000-0000-000058100000}"/>
    <cellStyle name="Style 528 2 2 2" xfId="8614" xr:uid="{1ED22739-B3DC-4009-A2DE-84E9BCD92A24}"/>
    <cellStyle name="Style 528 2 3" xfId="8613" xr:uid="{E5162E13-5BC7-4007-AAD9-0E1927498C31}"/>
    <cellStyle name="Style 528 3" xfId="696" xr:uid="{00000000-0005-0000-0000-000059100000}"/>
    <cellStyle name="Style 528 3 2" xfId="1169" xr:uid="{00000000-0005-0000-0000-00005A100000}"/>
    <cellStyle name="Style 528 3 3" xfId="8615" xr:uid="{48162CA2-674A-40D1-AB05-960546765EF3}"/>
    <cellStyle name="Style 528 4" xfId="1409" xr:uid="{00000000-0005-0000-0000-00005B100000}"/>
    <cellStyle name="Style 528 4 2" xfId="3393" xr:uid="{00000000-0005-0000-0000-00005C100000}"/>
    <cellStyle name="Style 528 5" xfId="1704" xr:uid="{00000000-0005-0000-0000-00005D100000}"/>
    <cellStyle name="Style 528 5 2" xfId="3631" xr:uid="{00000000-0005-0000-0000-00005E100000}"/>
    <cellStyle name="Style 528 6" xfId="1955" xr:uid="{00000000-0005-0000-0000-00005F100000}"/>
    <cellStyle name="Style 528 6 2" xfId="3865" xr:uid="{00000000-0005-0000-0000-000060100000}"/>
    <cellStyle name="Style 528 7" xfId="2199" xr:uid="{00000000-0005-0000-0000-000061100000}"/>
    <cellStyle name="Style 528 7 2" xfId="4100" xr:uid="{00000000-0005-0000-0000-000062100000}"/>
    <cellStyle name="Style 528 8" xfId="2434" xr:uid="{00000000-0005-0000-0000-000063100000}"/>
    <cellStyle name="Style 528 8 2" xfId="4335" xr:uid="{00000000-0005-0000-0000-000064100000}"/>
    <cellStyle name="Style 528 9" xfId="2681" xr:uid="{00000000-0005-0000-0000-000065100000}"/>
    <cellStyle name="Style 528 9 2" xfId="4570" xr:uid="{00000000-0005-0000-0000-000066100000}"/>
    <cellStyle name="Style 561" xfId="229" xr:uid="{00000000-0005-0000-0000-000067100000}"/>
    <cellStyle name="Style 561 10" xfId="2916" xr:uid="{00000000-0005-0000-0000-000068100000}"/>
    <cellStyle name="Style 561 10 2" xfId="4805" xr:uid="{00000000-0005-0000-0000-000069100000}"/>
    <cellStyle name="Style 561 11" xfId="3153" xr:uid="{00000000-0005-0000-0000-00006A100000}"/>
    <cellStyle name="Style 561 11 2" xfId="5039" xr:uid="{00000000-0005-0000-0000-00006B100000}"/>
    <cellStyle name="Style 561 12" xfId="5275" xr:uid="{00000000-0005-0000-0000-00006C100000}"/>
    <cellStyle name="Style 561 12 2" xfId="6735" xr:uid="{00000000-0005-0000-0000-00006C100000}"/>
    <cellStyle name="Style 561 13" xfId="5503" xr:uid="{00000000-0005-0000-0000-00006D100000}"/>
    <cellStyle name="Style 561 13 2" xfId="6927" xr:uid="{00000000-0005-0000-0000-00006D100000}"/>
    <cellStyle name="Style 561 14" xfId="5858" xr:uid="{00000000-0005-0000-0000-00006E100000}"/>
    <cellStyle name="Style 561 14 2" xfId="7278" xr:uid="{00000000-0005-0000-0000-00006E100000}"/>
    <cellStyle name="Style 561 15" xfId="6349" xr:uid="{00000000-0005-0000-0000-00006F100000}"/>
    <cellStyle name="Style 561 15 2" xfId="7627" xr:uid="{00000000-0005-0000-0000-00006F100000}"/>
    <cellStyle name="Style 561 2" xfId="463" xr:uid="{00000000-0005-0000-0000-000070100000}"/>
    <cellStyle name="Style 561 2 2" xfId="936" xr:uid="{00000000-0005-0000-0000-000071100000}"/>
    <cellStyle name="Style 561 2 2 2" xfId="8617" xr:uid="{9867F083-9D9B-4715-908C-418456CA4D86}"/>
    <cellStyle name="Style 561 2 3" xfId="8616" xr:uid="{6A2463F0-7244-4998-8C77-9A782F39AC9E}"/>
    <cellStyle name="Style 561 3" xfId="697" xr:uid="{00000000-0005-0000-0000-000072100000}"/>
    <cellStyle name="Style 561 3 2" xfId="1170" xr:uid="{00000000-0005-0000-0000-000073100000}"/>
    <cellStyle name="Style 561 3 3" xfId="8618" xr:uid="{64ABC687-DDBF-451D-BAE5-A95B68B6C8F0}"/>
    <cellStyle name="Style 561 4" xfId="1410" xr:uid="{00000000-0005-0000-0000-000074100000}"/>
    <cellStyle name="Style 561 4 2" xfId="3394" xr:uid="{00000000-0005-0000-0000-000075100000}"/>
    <cellStyle name="Style 561 5" xfId="1705" xr:uid="{00000000-0005-0000-0000-000076100000}"/>
    <cellStyle name="Style 561 5 2" xfId="3632" xr:uid="{00000000-0005-0000-0000-000077100000}"/>
    <cellStyle name="Style 561 6" xfId="1956" xr:uid="{00000000-0005-0000-0000-000078100000}"/>
    <cellStyle name="Style 561 6 2" xfId="3866" xr:uid="{00000000-0005-0000-0000-000079100000}"/>
    <cellStyle name="Style 561 7" xfId="2200" xr:uid="{00000000-0005-0000-0000-00007A100000}"/>
    <cellStyle name="Style 561 7 2" xfId="4101" xr:uid="{00000000-0005-0000-0000-00007B100000}"/>
    <cellStyle name="Style 561 8" xfId="2435" xr:uid="{00000000-0005-0000-0000-00007C100000}"/>
    <cellStyle name="Style 561 8 2" xfId="4336" xr:uid="{00000000-0005-0000-0000-00007D100000}"/>
    <cellStyle name="Style 561 9" xfId="2682" xr:uid="{00000000-0005-0000-0000-00007E100000}"/>
    <cellStyle name="Style 561 9 2" xfId="4571" xr:uid="{00000000-0005-0000-0000-00007F100000}"/>
    <cellStyle name="Style 669" xfId="230" xr:uid="{00000000-0005-0000-0000-000080100000}"/>
    <cellStyle name="Style 669 10" xfId="2917" xr:uid="{00000000-0005-0000-0000-000081100000}"/>
    <cellStyle name="Style 669 10 2" xfId="4806" xr:uid="{00000000-0005-0000-0000-000082100000}"/>
    <cellStyle name="Style 669 11" xfId="3154" xr:uid="{00000000-0005-0000-0000-000083100000}"/>
    <cellStyle name="Style 669 11 2" xfId="5040" xr:uid="{00000000-0005-0000-0000-000084100000}"/>
    <cellStyle name="Style 669 12" xfId="5276" xr:uid="{00000000-0005-0000-0000-000085100000}"/>
    <cellStyle name="Style 669 12 2" xfId="6736" xr:uid="{00000000-0005-0000-0000-000085100000}"/>
    <cellStyle name="Style 669 13" xfId="5504" xr:uid="{00000000-0005-0000-0000-000086100000}"/>
    <cellStyle name="Style 669 13 2" xfId="6928" xr:uid="{00000000-0005-0000-0000-000086100000}"/>
    <cellStyle name="Style 669 14" xfId="5859" xr:uid="{00000000-0005-0000-0000-000087100000}"/>
    <cellStyle name="Style 669 14 2" xfId="7279" xr:uid="{00000000-0005-0000-0000-000087100000}"/>
    <cellStyle name="Style 669 15" xfId="6350" xr:uid="{00000000-0005-0000-0000-000088100000}"/>
    <cellStyle name="Style 669 15 2" xfId="7628" xr:uid="{00000000-0005-0000-0000-000088100000}"/>
    <cellStyle name="Style 669 2" xfId="464" xr:uid="{00000000-0005-0000-0000-000089100000}"/>
    <cellStyle name="Style 669 2 2" xfId="937" xr:uid="{00000000-0005-0000-0000-00008A100000}"/>
    <cellStyle name="Style 669 2 2 2" xfId="8620" xr:uid="{67E638AF-1717-4392-A056-32F1F7B10A6D}"/>
    <cellStyle name="Style 669 2 3" xfId="8619" xr:uid="{ADEE0317-79F6-4CCB-9432-30A6573E4211}"/>
    <cellStyle name="Style 669 3" xfId="698" xr:uid="{00000000-0005-0000-0000-00008B100000}"/>
    <cellStyle name="Style 669 3 2" xfId="1171" xr:uid="{00000000-0005-0000-0000-00008C100000}"/>
    <cellStyle name="Style 669 3 3" xfId="8621" xr:uid="{35937B12-7BFC-4A68-A280-1C21746FB227}"/>
    <cellStyle name="Style 669 4" xfId="1411" xr:uid="{00000000-0005-0000-0000-00008D100000}"/>
    <cellStyle name="Style 669 4 2" xfId="3395" xr:uid="{00000000-0005-0000-0000-00008E100000}"/>
    <cellStyle name="Style 669 4 3" xfId="8622" xr:uid="{6D44FE25-4FBB-4F9A-83EE-528FB46CF748}"/>
    <cellStyle name="Style 669 5" xfId="1706" xr:uid="{00000000-0005-0000-0000-00008F100000}"/>
    <cellStyle name="Style 669 5 2" xfId="3633" xr:uid="{00000000-0005-0000-0000-000090100000}"/>
    <cellStyle name="Style 669 6" xfId="1957" xr:uid="{00000000-0005-0000-0000-000091100000}"/>
    <cellStyle name="Style 669 6 2" xfId="3867" xr:uid="{00000000-0005-0000-0000-000092100000}"/>
    <cellStyle name="Style 669 7" xfId="2201" xr:uid="{00000000-0005-0000-0000-000093100000}"/>
    <cellStyle name="Style 669 7 2" xfId="4102" xr:uid="{00000000-0005-0000-0000-000094100000}"/>
    <cellStyle name="Style 669 8" xfId="2436" xr:uid="{00000000-0005-0000-0000-000095100000}"/>
    <cellStyle name="Style 669 8 2" xfId="4337" xr:uid="{00000000-0005-0000-0000-000096100000}"/>
    <cellStyle name="Style 669 9" xfId="2683" xr:uid="{00000000-0005-0000-0000-000097100000}"/>
    <cellStyle name="Style 669 9 2" xfId="4572" xr:uid="{00000000-0005-0000-0000-000098100000}"/>
    <cellStyle name="Style 670" xfId="231" xr:uid="{00000000-0005-0000-0000-000099100000}"/>
    <cellStyle name="Style 670 10" xfId="2918" xr:uid="{00000000-0005-0000-0000-00009A100000}"/>
    <cellStyle name="Style 670 10 2" xfId="4807" xr:uid="{00000000-0005-0000-0000-00009B100000}"/>
    <cellStyle name="Style 670 11" xfId="3155" xr:uid="{00000000-0005-0000-0000-00009C100000}"/>
    <cellStyle name="Style 670 11 2" xfId="5041" xr:uid="{00000000-0005-0000-0000-00009D100000}"/>
    <cellStyle name="Style 670 12" xfId="5277" xr:uid="{00000000-0005-0000-0000-00009E100000}"/>
    <cellStyle name="Style 670 12 2" xfId="6737" xr:uid="{00000000-0005-0000-0000-00009E100000}"/>
    <cellStyle name="Style 670 13" xfId="5505" xr:uid="{00000000-0005-0000-0000-00009F100000}"/>
    <cellStyle name="Style 670 13 2" xfId="6929" xr:uid="{00000000-0005-0000-0000-00009F100000}"/>
    <cellStyle name="Style 670 14" xfId="5860" xr:uid="{00000000-0005-0000-0000-0000A0100000}"/>
    <cellStyle name="Style 670 14 2" xfId="7280" xr:uid="{00000000-0005-0000-0000-0000A0100000}"/>
    <cellStyle name="Style 670 15" xfId="6351" xr:uid="{00000000-0005-0000-0000-0000A1100000}"/>
    <cellStyle name="Style 670 15 2" xfId="7629" xr:uid="{00000000-0005-0000-0000-0000A1100000}"/>
    <cellStyle name="Style 670 2" xfId="465" xr:uid="{00000000-0005-0000-0000-0000A2100000}"/>
    <cellStyle name="Style 670 2 2" xfId="938" xr:uid="{00000000-0005-0000-0000-0000A3100000}"/>
    <cellStyle name="Style 670 2 2 2" xfId="8624" xr:uid="{39A07CAA-F8E7-4052-A3CA-24F75B474483}"/>
    <cellStyle name="Style 670 2 3" xfId="8623" xr:uid="{E293068D-68B0-4568-B1BD-12228A4D04AA}"/>
    <cellStyle name="Style 670 3" xfId="699" xr:uid="{00000000-0005-0000-0000-0000A4100000}"/>
    <cellStyle name="Style 670 3 2" xfId="1172" xr:uid="{00000000-0005-0000-0000-0000A5100000}"/>
    <cellStyle name="Style 670 3 3" xfId="8625" xr:uid="{D0433288-5A97-434C-9560-5EB1951D69CD}"/>
    <cellStyle name="Style 670 4" xfId="1412" xr:uid="{00000000-0005-0000-0000-0000A6100000}"/>
    <cellStyle name="Style 670 4 2" xfId="3396" xr:uid="{00000000-0005-0000-0000-0000A7100000}"/>
    <cellStyle name="Style 670 4 3" xfId="8626" xr:uid="{39FB310A-FB8F-476D-9F5F-A07D156CA0E9}"/>
    <cellStyle name="Style 670 5" xfId="1707" xr:uid="{00000000-0005-0000-0000-0000A8100000}"/>
    <cellStyle name="Style 670 5 2" xfId="3634" xr:uid="{00000000-0005-0000-0000-0000A9100000}"/>
    <cellStyle name="Style 670 6" xfId="1958" xr:uid="{00000000-0005-0000-0000-0000AA100000}"/>
    <cellStyle name="Style 670 6 2" xfId="3868" xr:uid="{00000000-0005-0000-0000-0000AB100000}"/>
    <cellStyle name="Style 670 7" xfId="2202" xr:uid="{00000000-0005-0000-0000-0000AC100000}"/>
    <cellStyle name="Style 670 7 2" xfId="4103" xr:uid="{00000000-0005-0000-0000-0000AD100000}"/>
    <cellStyle name="Style 670 8" xfId="2437" xr:uid="{00000000-0005-0000-0000-0000AE100000}"/>
    <cellStyle name="Style 670 8 2" xfId="4338" xr:uid="{00000000-0005-0000-0000-0000AF100000}"/>
    <cellStyle name="Style 670 9" xfId="2684" xr:uid="{00000000-0005-0000-0000-0000B0100000}"/>
    <cellStyle name="Style 670 9 2" xfId="4573" xr:uid="{00000000-0005-0000-0000-0000B1100000}"/>
    <cellStyle name="Style 671" xfId="232" xr:uid="{00000000-0005-0000-0000-0000B2100000}"/>
    <cellStyle name="Style 671 10" xfId="2919" xr:uid="{00000000-0005-0000-0000-0000B3100000}"/>
    <cellStyle name="Style 671 10 2" xfId="4808" xr:uid="{00000000-0005-0000-0000-0000B4100000}"/>
    <cellStyle name="Style 671 11" xfId="3156" xr:uid="{00000000-0005-0000-0000-0000B5100000}"/>
    <cellStyle name="Style 671 11 2" xfId="5042" xr:uid="{00000000-0005-0000-0000-0000B6100000}"/>
    <cellStyle name="Style 671 12" xfId="5278" xr:uid="{00000000-0005-0000-0000-0000B7100000}"/>
    <cellStyle name="Style 671 12 2" xfId="6738" xr:uid="{00000000-0005-0000-0000-0000B7100000}"/>
    <cellStyle name="Style 671 13" xfId="5506" xr:uid="{00000000-0005-0000-0000-0000B8100000}"/>
    <cellStyle name="Style 671 13 2" xfId="6930" xr:uid="{00000000-0005-0000-0000-0000B8100000}"/>
    <cellStyle name="Style 671 14" xfId="5861" xr:uid="{00000000-0005-0000-0000-0000B9100000}"/>
    <cellStyle name="Style 671 14 2" xfId="7281" xr:uid="{00000000-0005-0000-0000-0000B9100000}"/>
    <cellStyle name="Style 671 15" xfId="6352" xr:uid="{00000000-0005-0000-0000-0000BA100000}"/>
    <cellStyle name="Style 671 15 2" xfId="7630" xr:uid="{00000000-0005-0000-0000-0000BA100000}"/>
    <cellStyle name="Style 671 2" xfId="466" xr:uid="{00000000-0005-0000-0000-0000BB100000}"/>
    <cellStyle name="Style 671 2 2" xfId="939" xr:uid="{00000000-0005-0000-0000-0000BC100000}"/>
    <cellStyle name="Style 671 2 2 2" xfId="8628" xr:uid="{9EE4DACE-71EC-4EDE-AF1C-493C3B37FF17}"/>
    <cellStyle name="Style 671 2 3" xfId="8627" xr:uid="{45F790D9-8C55-4D87-8C01-D0E6B562B38B}"/>
    <cellStyle name="Style 671 3" xfId="700" xr:uid="{00000000-0005-0000-0000-0000BD100000}"/>
    <cellStyle name="Style 671 3 2" xfId="1173" xr:uid="{00000000-0005-0000-0000-0000BE100000}"/>
    <cellStyle name="Style 671 3 3" xfId="8629" xr:uid="{429A9501-D3E6-4261-BDC7-9FA210374F66}"/>
    <cellStyle name="Style 671 4" xfId="1413" xr:uid="{00000000-0005-0000-0000-0000BF100000}"/>
    <cellStyle name="Style 671 4 2" xfId="3397" xr:uid="{00000000-0005-0000-0000-0000C0100000}"/>
    <cellStyle name="Style 671 4 3" xfId="8630" xr:uid="{23EDBE51-73D8-4AB2-AB44-2ACD0C15E503}"/>
    <cellStyle name="Style 671 5" xfId="1708" xr:uid="{00000000-0005-0000-0000-0000C1100000}"/>
    <cellStyle name="Style 671 5 2" xfId="3635" xr:uid="{00000000-0005-0000-0000-0000C2100000}"/>
    <cellStyle name="Style 671 6" xfId="1959" xr:uid="{00000000-0005-0000-0000-0000C3100000}"/>
    <cellStyle name="Style 671 6 2" xfId="3869" xr:uid="{00000000-0005-0000-0000-0000C4100000}"/>
    <cellStyle name="Style 671 7" xfId="2203" xr:uid="{00000000-0005-0000-0000-0000C5100000}"/>
    <cellStyle name="Style 671 7 2" xfId="4104" xr:uid="{00000000-0005-0000-0000-0000C6100000}"/>
    <cellStyle name="Style 671 8" xfId="2438" xr:uid="{00000000-0005-0000-0000-0000C7100000}"/>
    <cellStyle name="Style 671 8 2" xfId="4339" xr:uid="{00000000-0005-0000-0000-0000C8100000}"/>
    <cellStyle name="Style 671 9" xfId="2685" xr:uid="{00000000-0005-0000-0000-0000C9100000}"/>
    <cellStyle name="Style 671 9 2" xfId="4574" xr:uid="{00000000-0005-0000-0000-0000CA100000}"/>
    <cellStyle name="Style 672" xfId="233" xr:uid="{00000000-0005-0000-0000-0000CB100000}"/>
    <cellStyle name="Style 672 10" xfId="2920" xr:uid="{00000000-0005-0000-0000-0000CC100000}"/>
    <cellStyle name="Style 672 10 2" xfId="4809" xr:uid="{00000000-0005-0000-0000-0000CD100000}"/>
    <cellStyle name="Style 672 11" xfId="3157" xr:uid="{00000000-0005-0000-0000-0000CE100000}"/>
    <cellStyle name="Style 672 11 2" xfId="5043" xr:uid="{00000000-0005-0000-0000-0000CF100000}"/>
    <cellStyle name="Style 672 12" xfId="5279" xr:uid="{00000000-0005-0000-0000-0000D0100000}"/>
    <cellStyle name="Style 672 12 2" xfId="6739" xr:uid="{00000000-0005-0000-0000-0000D0100000}"/>
    <cellStyle name="Style 672 13" xfId="5507" xr:uid="{00000000-0005-0000-0000-0000D1100000}"/>
    <cellStyle name="Style 672 13 2" xfId="6931" xr:uid="{00000000-0005-0000-0000-0000D1100000}"/>
    <cellStyle name="Style 672 14" xfId="5862" xr:uid="{00000000-0005-0000-0000-0000D2100000}"/>
    <cellStyle name="Style 672 14 2" xfId="7282" xr:uid="{00000000-0005-0000-0000-0000D2100000}"/>
    <cellStyle name="Style 672 15" xfId="6353" xr:uid="{00000000-0005-0000-0000-0000D3100000}"/>
    <cellStyle name="Style 672 15 2" xfId="7631" xr:uid="{00000000-0005-0000-0000-0000D3100000}"/>
    <cellStyle name="Style 672 2" xfId="467" xr:uid="{00000000-0005-0000-0000-0000D4100000}"/>
    <cellStyle name="Style 672 2 2" xfId="940" xr:uid="{00000000-0005-0000-0000-0000D5100000}"/>
    <cellStyle name="Style 672 2 2 2" xfId="8632" xr:uid="{22DD2E34-39D9-4381-A386-26DB7B03069D}"/>
    <cellStyle name="Style 672 2 3" xfId="8631" xr:uid="{80A50FE3-8AEC-4302-8816-56B6369FC9FD}"/>
    <cellStyle name="Style 672 3" xfId="701" xr:uid="{00000000-0005-0000-0000-0000D6100000}"/>
    <cellStyle name="Style 672 3 2" xfId="1174" xr:uid="{00000000-0005-0000-0000-0000D7100000}"/>
    <cellStyle name="Style 672 3 3" xfId="8633" xr:uid="{DCADA926-B03F-4926-AA7F-50DD24441623}"/>
    <cellStyle name="Style 672 4" xfId="1414" xr:uid="{00000000-0005-0000-0000-0000D8100000}"/>
    <cellStyle name="Style 672 4 2" xfId="3398" xr:uid="{00000000-0005-0000-0000-0000D9100000}"/>
    <cellStyle name="Style 672 4 3" xfId="8634" xr:uid="{A8BCA83C-FF55-4B45-9F03-F63D6413F4A5}"/>
    <cellStyle name="Style 672 5" xfId="1709" xr:uid="{00000000-0005-0000-0000-0000DA100000}"/>
    <cellStyle name="Style 672 5 2" xfId="3636" xr:uid="{00000000-0005-0000-0000-0000DB100000}"/>
    <cellStyle name="Style 672 6" xfId="1960" xr:uid="{00000000-0005-0000-0000-0000DC100000}"/>
    <cellStyle name="Style 672 6 2" xfId="3870" xr:uid="{00000000-0005-0000-0000-0000DD100000}"/>
    <cellStyle name="Style 672 7" xfId="2204" xr:uid="{00000000-0005-0000-0000-0000DE100000}"/>
    <cellStyle name="Style 672 7 2" xfId="4105" xr:uid="{00000000-0005-0000-0000-0000DF100000}"/>
    <cellStyle name="Style 672 8" xfId="2439" xr:uid="{00000000-0005-0000-0000-0000E0100000}"/>
    <cellStyle name="Style 672 8 2" xfId="4340" xr:uid="{00000000-0005-0000-0000-0000E1100000}"/>
    <cellStyle name="Style 672 9" xfId="2686" xr:uid="{00000000-0005-0000-0000-0000E2100000}"/>
    <cellStyle name="Style 672 9 2" xfId="4575" xr:uid="{00000000-0005-0000-0000-0000E3100000}"/>
    <cellStyle name="Style 673" xfId="234" xr:uid="{00000000-0005-0000-0000-0000E4100000}"/>
    <cellStyle name="Style 673 10" xfId="2921" xr:uid="{00000000-0005-0000-0000-0000E5100000}"/>
    <cellStyle name="Style 673 10 2" xfId="4810" xr:uid="{00000000-0005-0000-0000-0000E6100000}"/>
    <cellStyle name="Style 673 11" xfId="3158" xr:uid="{00000000-0005-0000-0000-0000E7100000}"/>
    <cellStyle name="Style 673 11 2" xfId="5044" xr:uid="{00000000-0005-0000-0000-0000E8100000}"/>
    <cellStyle name="Style 673 12" xfId="5280" xr:uid="{00000000-0005-0000-0000-0000E9100000}"/>
    <cellStyle name="Style 673 12 2" xfId="6740" xr:uid="{00000000-0005-0000-0000-0000E9100000}"/>
    <cellStyle name="Style 673 13" xfId="5508" xr:uid="{00000000-0005-0000-0000-0000EA100000}"/>
    <cellStyle name="Style 673 13 2" xfId="6932" xr:uid="{00000000-0005-0000-0000-0000EA100000}"/>
    <cellStyle name="Style 673 14" xfId="5696" xr:uid="{00000000-0005-0000-0000-0000EB100000}"/>
    <cellStyle name="Style 673 14 2" xfId="7116" xr:uid="{00000000-0005-0000-0000-0000EB100000}"/>
    <cellStyle name="Style 673 15" xfId="5863" xr:uid="{00000000-0005-0000-0000-0000EC100000}"/>
    <cellStyle name="Style 673 15 2" xfId="7283" xr:uid="{00000000-0005-0000-0000-0000EC100000}"/>
    <cellStyle name="Style 673 16" xfId="6036" xr:uid="{00000000-0005-0000-0000-0000ED100000}"/>
    <cellStyle name="Style 673 16 2" xfId="7456" xr:uid="{00000000-0005-0000-0000-0000ED100000}"/>
    <cellStyle name="Style 673 17" xfId="6354" xr:uid="{00000000-0005-0000-0000-0000EE100000}"/>
    <cellStyle name="Style 673 17 2" xfId="7632" xr:uid="{00000000-0005-0000-0000-0000EE100000}"/>
    <cellStyle name="Style 673 2" xfId="468" xr:uid="{00000000-0005-0000-0000-0000EF100000}"/>
    <cellStyle name="Style 673 2 2" xfId="941" xr:uid="{00000000-0005-0000-0000-0000F0100000}"/>
    <cellStyle name="Style 673 2 2 2" xfId="8636" xr:uid="{D3555C5F-A50F-4C8F-A75A-DE342A219AA1}"/>
    <cellStyle name="Style 673 2 3" xfId="8635" xr:uid="{BCAEEC0E-86FB-43A0-9757-54E2C41C3B23}"/>
    <cellStyle name="Style 673 3" xfId="702" xr:uid="{00000000-0005-0000-0000-0000F1100000}"/>
    <cellStyle name="Style 673 3 2" xfId="1175" xr:uid="{00000000-0005-0000-0000-0000F2100000}"/>
    <cellStyle name="Style 673 3 3" xfId="8637" xr:uid="{D274B5D1-D192-4785-B2C2-6191867C029B}"/>
    <cellStyle name="Style 673 4" xfId="1415" xr:uid="{00000000-0005-0000-0000-0000F3100000}"/>
    <cellStyle name="Style 673 4 2" xfId="3399" xr:uid="{00000000-0005-0000-0000-0000F4100000}"/>
    <cellStyle name="Style 673 4 3" xfId="8638" xr:uid="{10A848A3-08E0-4C1E-A9A6-A4651C6E1786}"/>
    <cellStyle name="Style 673 5" xfId="1710" xr:uid="{00000000-0005-0000-0000-0000F5100000}"/>
    <cellStyle name="Style 673 5 2" xfId="3637" xr:uid="{00000000-0005-0000-0000-0000F6100000}"/>
    <cellStyle name="Style 673 6" xfId="1961" xr:uid="{00000000-0005-0000-0000-0000F7100000}"/>
    <cellStyle name="Style 673 6 2" xfId="3871" xr:uid="{00000000-0005-0000-0000-0000F8100000}"/>
    <cellStyle name="Style 673 7" xfId="2205" xr:uid="{00000000-0005-0000-0000-0000F9100000}"/>
    <cellStyle name="Style 673 7 2" xfId="4106" xr:uid="{00000000-0005-0000-0000-0000FA100000}"/>
    <cellStyle name="Style 673 8" xfId="2440" xr:uid="{00000000-0005-0000-0000-0000FB100000}"/>
    <cellStyle name="Style 673 8 2" xfId="4341" xr:uid="{00000000-0005-0000-0000-0000FC100000}"/>
    <cellStyle name="Style 673 9" xfId="2687" xr:uid="{00000000-0005-0000-0000-0000FD100000}"/>
    <cellStyle name="Style 673 9 2" xfId="4576" xr:uid="{00000000-0005-0000-0000-0000FE100000}"/>
    <cellStyle name="Style 674" xfId="235" xr:uid="{00000000-0005-0000-0000-0000FF100000}"/>
    <cellStyle name="Style 674 10" xfId="2922" xr:uid="{00000000-0005-0000-0000-000000110000}"/>
    <cellStyle name="Style 674 10 2" xfId="4811" xr:uid="{00000000-0005-0000-0000-000001110000}"/>
    <cellStyle name="Style 674 11" xfId="3159" xr:uid="{00000000-0005-0000-0000-000002110000}"/>
    <cellStyle name="Style 674 11 2" xfId="5045" xr:uid="{00000000-0005-0000-0000-000003110000}"/>
    <cellStyle name="Style 674 12" xfId="5281" xr:uid="{00000000-0005-0000-0000-000004110000}"/>
    <cellStyle name="Style 674 12 2" xfId="6741" xr:uid="{00000000-0005-0000-0000-000004110000}"/>
    <cellStyle name="Style 674 13" xfId="5509" xr:uid="{00000000-0005-0000-0000-000005110000}"/>
    <cellStyle name="Style 674 13 2" xfId="6933" xr:uid="{00000000-0005-0000-0000-000005110000}"/>
    <cellStyle name="Style 674 14" xfId="5697" xr:uid="{00000000-0005-0000-0000-000006110000}"/>
    <cellStyle name="Style 674 14 2" xfId="7117" xr:uid="{00000000-0005-0000-0000-000006110000}"/>
    <cellStyle name="Style 674 15" xfId="5864" xr:uid="{00000000-0005-0000-0000-000007110000}"/>
    <cellStyle name="Style 674 15 2" xfId="7284" xr:uid="{00000000-0005-0000-0000-000007110000}"/>
    <cellStyle name="Style 674 16" xfId="6037" xr:uid="{00000000-0005-0000-0000-000008110000}"/>
    <cellStyle name="Style 674 16 2" xfId="7457" xr:uid="{00000000-0005-0000-0000-000008110000}"/>
    <cellStyle name="Style 674 17" xfId="6355" xr:uid="{00000000-0005-0000-0000-000009110000}"/>
    <cellStyle name="Style 674 17 2" xfId="7633" xr:uid="{00000000-0005-0000-0000-000009110000}"/>
    <cellStyle name="Style 674 2" xfId="469" xr:uid="{00000000-0005-0000-0000-00000A110000}"/>
    <cellStyle name="Style 674 2 2" xfId="942" xr:uid="{00000000-0005-0000-0000-00000B110000}"/>
    <cellStyle name="Style 674 2 2 2" xfId="8640" xr:uid="{C9EA0B30-EF49-4049-AA7B-0DDB1C153220}"/>
    <cellStyle name="Style 674 2 3" xfId="8639" xr:uid="{EC3E4C7F-FBED-4271-919F-9CFA49B279EF}"/>
    <cellStyle name="Style 674 3" xfId="703" xr:uid="{00000000-0005-0000-0000-00000C110000}"/>
    <cellStyle name="Style 674 3 2" xfId="1176" xr:uid="{00000000-0005-0000-0000-00000D110000}"/>
    <cellStyle name="Style 674 3 3" xfId="8641" xr:uid="{4E9B67C4-A393-4A38-88BF-2834168E89EC}"/>
    <cellStyle name="Style 674 4" xfId="1416" xr:uid="{00000000-0005-0000-0000-00000E110000}"/>
    <cellStyle name="Style 674 4 2" xfId="3400" xr:uid="{00000000-0005-0000-0000-00000F110000}"/>
    <cellStyle name="Style 674 4 3" xfId="8642" xr:uid="{3C5409DD-62CE-493A-87B8-9F0E4C56B779}"/>
    <cellStyle name="Style 674 5" xfId="1711" xr:uid="{00000000-0005-0000-0000-000010110000}"/>
    <cellStyle name="Style 674 5 2" xfId="3638" xr:uid="{00000000-0005-0000-0000-000011110000}"/>
    <cellStyle name="Style 674 6" xfId="1962" xr:uid="{00000000-0005-0000-0000-000012110000}"/>
    <cellStyle name="Style 674 6 2" xfId="3872" xr:uid="{00000000-0005-0000-0000-000013110000}"/>
    <cellStyle name="Style 674 7" xfId="2206" xr:uid="{00000000-0005-0000-0000-000014110000}"/>
    <cellStyle name="Style 674 7 2" xfId="4107" xr:uid="{00000000-0005-0000-0000-000015110000}"/>
    <cellStyle name="Style 674 8" xfId="2441" xr:uid="{00000000-0005-0000-0000-000016110000}"/>
    <cellStyle name="Style 674 8 2" xfId="4342" xr:uid="{00000000-0005-0000-0000-000017110000}"/>
    <cellStyle name="Style 674 9" xfId="2688" xr:uid="{00000000-0005-0000-0000-000018110000}"/>
    <cellStyle name="Style 674 9 2" xfId="4577" xr:uid="{00000000-0005-0000-0000-000019110000}"/>
    <cellStyle name="Style 675" xfId="236" xr:uid="{00000000-0005-0000-0000-00001A110000}"/>
    <cellStyle name="Style 675 10" xfId="2923" xr:uid="{00000000-0005-0000-0000-00001B110000}"/>
    <cellStyle name="Style 675 10 2" xfId="4812" xr:uid="{00000000-0005-0000-0000-00001C110000}"/>
    <cellStyle name="Style 675 11" xfId="3160" xr:uid="{00000000-0005-0000-0000-00001D110000}"/>
    <cellStyle name="Style 675 11 2" xfId="5046" xr:uid="{00000000-0005-0000-0000-00001E110000}"/>
    <cellStyle name="Style 675 12" xfId="5282" xr:uid="{00000000-0005-0000-0000-00001F110000}"/>
    <cellStyle name="Style 675 12 2" xfId="6742" xr:uid="{00000000-0005-0000-0000-00001F110000}"/>
    <cellStyle name="Style 675 13" xfId="5510" xr:uid="{00000000-0005-0000-0000-000020110000}"/>
    <cellStyle name="Style 675 13 2" xfId="6934" xr:uid="{00000000-0005-0000-0000-000020110000}"/>
    <cellStyle name="Style 675 14" xfId="5698" xr:uid="{00000000-0005-0000-0000-000021110000}"/>
    <cellStyle name="Style 675 14 2" xfId="7118" xr:uid="{00000000-0005-0000-0000-000021110000}"/>
    <cellStyle name="Style 675 15" xfId="5865" xr:uid="{00000000-0005-0000-0000-000022110000}"/>
    <cellStyle name="Style 675 15 2" xfId="7285" xr:uid="{00000000-0005-0000-0000-000022110000}"/>
    <cellStyle name="Style 675 16" xfId="6038" xr:uid="{00000000-0005-0000-0000-000023110000}"/>
    <cellStyle name="Style 675 16 2" xfId="7458" xr:uid="{00000000-0005-0000-0000-000023110000}"/>
    <cellStyle name="Style 675 17" xfId="6356" xr:uid="{00000000-0005-0000-0000-000024110000}"/>
    <cellStyle name="Style 675 17 2" xfId="7634" xr:uid="{00000000-0005-0000-0000-000024110000}"/>
    <cellStyle name="Style 675 2" xfId="470" xr:uid="{00000000-0005-0000-0000-000025110000}"/>
    <cellStyle name="Style 675 2 2" xfId="943" xr:uid="{00000000-0005-0000-0000-000026110000}"/>
    <cellStyle name="Style 675 2 2 2" xfId="8644" xr:uid="{7917BB67-B3F9-40C4-B531-E0953DD1F7AB}"/>
    <cellStyle name="Style 675 2 3" xfId="8643" xr:uid="{421CFE71-C766-44F6-BE8D-6803FC19277E}"/>
    <cellStyle name="Style 675 3" xfId="704" xr:uid="{00000000-0005-0000-0000-000027110000}"/>
    <cellStyle name="Style 675 3 2" xfId="1177" xr:uid="{00000000-0005-0000-0000-000028110000}"/>
    <cellStyle name="Style 675 3 3" xfId="8645" xr:uid="{FC434328-79E9-462C-A9D0-D523E452EF31}"/>
    <cellStyle name="Style 675 4" xfId="1417" xr:uid="{00000000-0005-0000-0000-000029110000}"/>
    <cellStyle name="Style 675 4 2" xfId="3401" xr:uid="{00000000-0005-0000-0000-00002A110000}"/>
    <cellStyle name="Style 675 4 3" xfId="8646" xr:uid="{69A97AF7-D8C7-429F-9435-33CF86F3034C}"/>
    <cellStyle name="Style 675 5" xfId="1712" xr:uid="{00000000-0005-0000-0000-00002B110000}"/>
    <cellStyle name="Style 675 5 2" xfId="3639" xr:uid="{00000000-0005-0000-0000-00002C110000}"/>
    <cellStyle name="Style 675 6" xfId="1963" xr:uid="{00000000-0005-0000-0000-00002D110000}"/>
    <cellStyle name="Style 675 6 2" xfId="3873" xr:uid="{00000000-0005-0000-0000-00002E110000}"/>
    <cellStyle name="Style 675 7" xfId="2207" xr:uid="{00000000-0005-0000-0000-00002F110000}"/>
    <cellStyle name="Style 675 7 2" xfId="4108" xr:uid="{00000000-0005-0000-0000-000030110000}"/>
    <cellStyle name="Style 675 8" xfId="2442" xr:uid="{00000000-0005-0000-0000-000031110000}"/>
    <cellStyle name="Style 675 8 2" xfId="4343" xr:uid="{00000000-0005-0000-0000-000032110000}"/>
    <cellStyle name="Style 675 9" xfId="2689" xr:uid="{00000000-0005-0000-0000-000033110000}"/>
    <cellStyle name="Style 675 9 2" xfId="4578" xr:uid="{00000000-0005-0000-0000-000034110000}"/>
    <cellStyle name="Style 676" xfId="237" xr:uid="{00000000-0005-0000-0000-000035110000}"/>
    <cellStyle name="Style 676 10" xfId="2924" xr:uid="{00000000-0005-0000-0000-000036110000}"/>
    <cellStyle name="Style 676 10 2" xfId="4813" xr:uid="{00000000-0005-0000-0000-000037110000}"/>
    <cellStyle name="Style 676 11" xfId="3161" xr:uid="{00000000-0005-0000-0000-000038110000}"/>
    <cellStyle name="Style 676 11 2" xfId="5047" xr:uid="{00000000-0005-0000-0000-000039110000}"/>
    <cellStyle name="Style 676 12" xfId="5283" xr:uid="{00000000-0005-0000-0000-00003A110000}"/>
    <cellStyle name="Style 676 12 2" xfId="6743" xr:uid="{00000000-0005-0000-0000-00003A110000}"/>
    <cellStyle name="Style 676 13" xfId="5511" xr:uid="{00000000-0005-0000-0000-00003B110000}"/>
    <cellStyle name="Style 676 13 2" xfId="6935" xr:uid="{00000000-0005-0000-0000-00003B110000}"/>
    <cellStyle name="Style 676 14" xfId="5699" xr:uid="{00000000-0005-0000-0000-00003C110000}"/>
    <cellStyle name="Style 676 14 2" xfId="7119" xr:uid="{00000000-0005-0000-0000-00003C110000}"/>
    <cellStyle name="Style 676 15" xfId="5866" xr:uid="{00000000-0005-0000-0000-00003D110000}"/>
    <cellStyle name="Style 676 15 2" xfId="7286" xr:uid="{00000000-0005-0000-0000-00003D110000}"/>
    <cellStyle name="Style 676 16" xfId="6039" xr:uid="{00000000-0005-0000-0000-00003E110000}"/>
    <cellStyle name="Style 676 16 2" xfId="7459" xr:uid="{00000000-0005-0000-0000-00003E110000}"/>
    <cellStyle name="Style 676 17" xfId="6357" xr:uid="{00000000-0005-0000-0000-00003F110000}"/>
    <cellStyle name="Style 676 17 2" xfId="7635" xr:uid="{00000000-0005-0000-0000-00003F110000}"/>
    <cellStyle name="Style 676 2" xfId="471" xr:uid="{00000000-0005-0000-0000-000040110000}"/>
    <cellStyle name="Style 676 2 2" xfId="944" xr:uid="{00000000-0005-0000-0000-000041110000}"/>
    <cellStyle name="Style 676 2 2 2" xfId="8648" xr:uid="{1F83B3B7-DB18-4829-AB77-FA03986FB445}"/>
    <cellStyle name="Style 676 2 3" xfId="8647" xr:uid="{27C7A19E-D589-4500-B3A8-047D1BDA78A4}"/>
    <cellStyle name="Style 676 3" xfId="705" xr:uid="{00000000-0005-0000-0000-000042110000}"/>
    <cellStyle name="Style 676 3 2" xfId="1178" xr:uid="{00000000-0005-0000-0000-000043110000}"/>
    <cellStyle name="Style 676 3 3" xfId="8649" xr:uid="{D32E9830-0D7D-4AF5-97ED-E98D8512A257}"/>
    <cellStyle name="Style 676 4" xfId="1418" xr:uid="{00000000-0005-0000-0000-000044110000}"/>
    <cellStyle name="Style 676 4 2" xfId="3402" xr:uid="{00000000-0005-0000-0000-000045110000}"/>
    <cellStyle name="Style 676 4 3" xfId="8650" xr:uid="{60B7CF5C-61A1-45A5-A89E-B7B375CD4C4E}"/>
    <cellStyle name="Style 676 5" xfId="1713" xr:uid="{00000000-0005-0000-0000-000046110000}"/>
    <cellStyle name="Style 676 5 2" xfId="3640" xr:uid="{00000000-0005-0000-0000-000047110000}"/>
    <cellStyle name="Style 676 6" xfId="1964" xr:uid="{00000000-0005-0000-0000-000048110000}"/>
    <cellStyle name="Style 676 6 2" xfId="3874" xr:uid="{00000000-0005-0000-0000-000049110000}"/>
    <cellStyle name="Style 676 7" xfId="2208" xr:uid="{00000000-0005-0000-0000-00004A110000}"/>
    <cellStyle name="Style 676 7 2" xfId="4109" xr:uid="{00000000-0005-0000-0000-00004B110000}"/>
    <cellStyle name="Style 676 8" xfId="2443" xr:uid="{00000000-0005-0000-0000-00004C110000}"/>
    <cellStyle name="Style 676 8 2" xfId="4344" xr:uid="{00000000-0005-0000-0000-00004D110000}"/>
    <cellStyle name="Style 676 9" xfId="2690" xr:uid="{00000000-0005-0000-0000-00004E110000}"/>
    <cellStyle name="Style 676 9 2" xfId="4579" xr:uid="{00000000-0005-0000-0000-00004F110000}"/>
    <cellStyle name="Style 707" xfId="238" xr:uid="{00000000-0005-0000-0000-000050110000}"/>
    <cellStyle name="Style 707 10" xfId="2925" xr:uid="{00000000-0005-0000-0000-000051110000}"/>
    <cellStyle name="Style 707 10 2" xfId="4814" xr:uid="{00000000-0005-0000-0000-000052110000}"/>
    <cellStyle name="Style 707 11" xfId="3162" xr:uid="{00000000-0005-0000-0000-000053110000}"/>
    <cellStyle name="Style 707 11 2" xfId="5048" xr:uid="{00000000-0005-0000-0000-000054110000}"/>
    <cellStyle name="Style 707 12" xfId="5284" xr:uid="{00000000-0005-0000-0000-000055110000}"/>
    <cellStyle name="Style 707 12 2" xfId="6744" xr:uid="{00000000-0005-0000-0000-000055110000}"/>
    <cellStyle name="Style 707 13" xfId="5512" xr:uid="{00000000-0005-0000-0000-000056110000}"/>
    <cellStyle name="Style 707 13 2" xfId="6936" xr:uid="{00000000-0005-0000-0000-000056110000}"/>
    <cellStyle name="Style 707 14" xfId="5867" xr:uid="{00000000-0005-0000-0000-000057110000}"/>
    <cellStyle name="Style 707 14 2" xfId="7287" xr:uid="{00000000-0005-0000-0000-000057110000}"/>
    <cellStyle name="Style 707 15" xfId="6358" xr:uid="{00000000-0005-0000-0000-000058110000}"/>
    <cellStyle name="Style 707 15 2" xfId="7636" xr:uid="{00000000-0005-0000-0000-000058110000}"/>
    <cellStyle name="Style 707 2" xfId="472" xr:uid="{00000000-0005-0000-0000-000059110000}"/>
    <cellStyle name="Style 707 2 2" xfId="945" xr:uid="{00000000-0005-0000-0000-00005A110000}"/>
    <cellStyle name="Style 707 2 2 2" xfId="8652" xr:uid="{2E9D3681-0834-4B05-9F90-5CFFA8B8AC7D}"/>
    <cellStyle name="Style 707 2 3" xfId="8651" xr:uid="{C67411CB-4F6B-441E-BF36-10F5ED04DE59}"/>
    <cellStyle name="Style 707 3" xfId="706" xr:uid="{00000000-0005-0000-0000-00005B110000}"/>
    <cellStyle name="Style 707 3 2" xfId="1179" xr:uid="{00000000-0005-0000-0000-00005C110000}"/>
    <cellStyle name="Style 707 3 3" xfId="8653" xr:uid="{E30461D6-703F-4F2D-8BC7-EB13A4F61CA5}"/>
    <cellStyle name="Style 707 4" xfId="1419" xr:uid="{00000000-0005-0000-0000-00005D110000}"/>
    <cellStyle name="Style 707 4 2" xfId="3403" xr:uid="{00000000-0005-0000-0000-00005E110000}"/>
    <cellStyle name="Style 707 4 3" xfId="8654" xr:uid="{E4E1A015-4DEA-45FC-B11B-447FCFA1C514}"/>
    <cellStyle name="Style 707 5" xfId="1714" xr:uid="{00000000-0005-0000-0000-00005F110000}"/>
    <cellStyle name="Style 707 5 2" xfId="3641" xr:uid="{00000000-0005-0000-0000-000060110000}"/>
    <cellStyle name="Style 707 6" xfId="1965" xr:uid="{00000000-0005-0000-0000-000061110000}"/>
    <cellStyle name="Style 707 6 2" xfId="3875" xr:uid="{00000000-0005-0000-0000-000062110000}"/>
    <cellStyle name="Style 707 7" xfId="2209" xr:uid="{00000000-0005-0000-0000-000063110000}"/>
    <cellStyle name="Style 707 7 2" xfId="4110" xr:uid="{00000000-0005-0000-0000-000064110000}"/>
    <cellStyle name="Style 707 8" xfId="2444" xr:uid="{00000000-0005-0000-0000-000065110000}"/>
    <cellStyle name="Style 707 8 2" xfId="4345" xr:uid="{00000000-0005-0000-0000-000066110000}"/>
    <cellStyle name="Style 707 9" xfId="2691" xr:uid="{00000000-0005-0000-0000-000067110000}"/>
    <cellStyle name="Style 707 9 2" xfId="4580" xr:uid="{00000000-0005-0000-0000-000068110000}"/>
    <cellStyle name="Style 708" xfId="239" xr:uid="{00000000-0005-0000-0000-000069110000}"/>
    <cellStyle name="Style 708 10" xfId="2926" xr:uid="{00000000-0005-0000-0000-00006A110000}"/>
    <cellStyle name="Style 708 10 2" xfId="4815" xr:uid="{00000000-0005-0000-0000-00006B110000}"/>
    <cellStyle name="Style 708 11" xfId="3163" xr:uid="{00000000-0005-0000-0000-00006C110000}"/>
    <cellStyle name="Style 708 11 2" xfId="5049" xr:uid="{00000000-0005-0000-0000-00006D110000}"/>
    <cellStyle name="Style 708 12" xfId="5285" xr:uid="{00000000-0005-0000-0000-00006E110000}"/>
    <cellStyle name="Style 708 12 2" xfId="6745" xr:uid="{00000000-0005-0000-0000-00006E110000}"/>
    <cellStyle name="Style 708 13" xfId="5513" xr:uid="{00000000-0005-0000-0000-00006F110000}"/>
    <cellStyle name="Style 708 13 2" xfId="6937" xr:uid="{00000000-0005-0000-0000-00006F110000}"/>
    <cellStyle name="Style 708 14" xfId="5868" xr:uid="{00000000-0005-0000-0000-000070110000}"/>
    <cellStyle name="Style 708 14 2" xfId="7288" xr:uid="{00000000-0005-0000-0000-000070110000}"/>
    <cellStyle name="Style 708 15" xfId="6359" xr:uid="{00000000-0005-0000-0000-000071110000}"/>
    <cellStyle name="Style 708 15 2" xfId="7637" xr:uid="{00000000-0005-0000-0000-000071110000}"/>
    <cellStyle name="Style 708 2" xfId="473" xr:uid="{00000000-0005-0000-0000-000072110000}"/>
    <cellStyle name="Style 708 2 2" xfId="946" xr:uid="{00000000-0005-0000-0000-000073110000}"/>
    <cellStyle name="Style 708 2 2 2" xfId="8656" xr:uid="{995A3012-4578-402A-B2BF-E978D254BD5B}"/>
    <cellStyle name="Style 708 2 3" xfId="8655" xr:uid="{B048A541-A316-4E68-AEDC-0C919CDD1898}"/>
    <cellStyle name="Style 708 3" xfId="707" xr:uid="{00000000-0005-0000-0000-000074110000}"/>
    <cellStyle name="Style 708 3 2" xfId="1180" xr:uid="{00000000-0005-0000-0000-000075110000}"/>
    <cellStyle name="Style 708 3 3" xfId="8657" xr:uid="{07F00E37-C374-4060-AE5C-B298F4F7139C}"/>
    <cellStyle name="Style 708 4" xfId="1420" xr:uid="{00000000-0005-0000-0000-000076110000}"/>
    <cellStyle name="Style 708 4 2" xfId="3404" xr:uid="{00000000-0005-0000-0000-000077110000}"/>
    <cellStyle name="Style 708 4 3" xfId="8658" xr:uid="{98CA7EE0-3BCC-42E9-81D1-2DB993FA3F02}"/>
    <cellStyle name="Style 708 5" xfId="1715" xr:uid="{00000000-0005-0000-0000-000078110000}"/>
    <cellStyle name="Style 708 5 2" xfId="3642" xr:uid="{00000000-0005-0000-0000-000079110000}"/>
    <cellStyle name="Style 708 6" xfId="1966" xr:uid="{00000000-0005-0000-0000-00007A110000}"/>
    <cellStyle name="Style 708 6 2" xfId="3876" xr:uid="{00000000-0005-0000-0000-00007B110000}"/>
    <cellStyle name="Style 708 7" xfId="2210" xr:uid="{00000000-0005-0000-0000-00007C110000}"/>
    <cellStyle name="Style 708 7 2" xfId="4111" xr:uid="{00000000-0005-0000-0000-00007D110000}"/>
    <cellStyle name="Style 708 8" xfId="2445" xr:uid="{00000000-0005-0000-0000-00007E110000}"/>
    <cellStyle name="Style 708 8 2" xfId="4346" xr:uid="{00000000-0005-0000-0000-00007F110000}"/>
    <cellStyle name="Style 708 9" xfId="2692" xr:uid="{00000000-0005-0000-0000-000080110000}"/>
    <cellStyle name="Style 708 9 2" xfId="4581" xr:uid="{00000000-0005-0000-0000-000081110000}"/>
    <cellStyle name="Style 709" xfId="240" xr:uid="{00000000-0005-0000-0000-000082110000}"/>
    <cellStyle name="Style 709 10" xfId="2927" xr:uid="{00000000-0005-0000-0000-000083110000}"/>
    <cellStyle name="Style 709 10 2" xfId="4816" xr:uid="{00000000-0005-0000-0000-000084110000}"/>
    <cellStyle name="Style 709 11" xfId="3164" xr:uid="{00000000-0005-0000-0000-000085110000}"/>
    <cellStyle name="Style 709 11 2" xfId="5050" xr:uid="{00000000-0005-0000-0000-000086110000}"/>
    <cellStyle name="Style 709 12" xfId="5286" xr:uid="{00000000-0005-0000-0000-000087110000}"/>
    <cellStyle name="Style 709 12 2" xfId="6746" xr:uid="{00000000-0005-0000-0000-000087110000}"/>
    <cellStyle name="Style 709 13" xfId="5514" xr:uid="{00000000-0005-0000-0000-000088110000}"/>
    <cellStyle name="Style 709 13 2" xfId="6938" xr:uid="{00000000-0005-0000-0000-000088110000}"/>
    <cellStyle name="Style 709 14" xfId="5869" xr:uid="{00000000-0005-0000-0000-000089110000}"/>
    <cellStyle name="Style 709 14 2" xfId="7289" xr:uid="{00000000-0005-0000-0000-000089110000}"/>
    <cellStyle name="Style 709 15" xfId="6360" xr:uid="{00000000-0005-0000-0000-00008A110000}"/>
    <cellStyle name="Style 709 15 2" xfId="7638" xr:uid="{00000000-0005-0000-0000-00008A110000}"/>
    <cellStyle name="Style 709 2" xfId="474" xr:uid="{00000000-0005-0000-0000-00008B110000}"/>
    <cellStyle name="Style 709 2 2" xfId="947" xr:uid="{00000000-0005-0000-0000-00008C110000}"/>
    <cellStyle name="Style 709 2 2 2" xfId="8660" xr:uid="{A64F3B1D-0B6E-4B02-BB23-6DD7E1352146}"/>
    <cellStyle name="Style 709 2 3" xfId="8659" xr:uid="{D46C95CC-BFE1-4340-9213-D8D6B0933A54}"/>
    <cellStyle name="Style 709 3" xfId="708" xr:uid="{00000000-0005-0000-0000-00008D110000}"/>
    <cellStyle name="Style 709 3 2" xfId="1181" xr:uid="{00000000-0005-0000-0000-00008E110000}"/>
    <cellStyle name="Style 709 3 3" xfId="8661" xr:uid="{D4FE18FD-7449-46F1-8A69-BBDADEFDD246}"/>
    <cellStyle name="Style 709 4" xfId="1421" xr:uid="{00000000-0005-0000-0000-00008F110000}"/>
    <cellStyle name="Style 709 4 2" xfId="3405" xr:uid="{00000000-0005-0000-0000-000090110000}"/>
    <cellStyle name="Style 709 4 3" xfId="8662" xr:uid="{C4FD89B1-778F-482F-9060-585912B64DB1}"/>
    <cellStyle name="Style 709 5" xfId="1716" xr:uid="{00000000-0005-0000-0000-000091110000}"/>
    <cellStyle name="Style 709 5 2" xfId="3643" xr:uid="{00000000-0005-0000-0000-000092110000}"/>
    <cellStyle name="Style 709 6" xfId="1967" xr:uid="{00000000-0005-0000-0000-000093110000}"/>
    <cellStyle name="Style 709 6 2" xfId="3877" xr:uid="{00000000-0005-0000-0000-000094110000}"/>
    <cellStyle name="Style 709 7" xfId="2211" xr:uid="{00000000-0005-0000-0000-000095110000}"/>
    <cellStyle name="Style 709 7 2" xfId="4112" xr:uid="{00000000-0005-0000-0000-000096110000}"/>
    <cellStyle name="Style 709 8" xfId="2446" xr:uid="{00000000-0005-0000-0000-000097110000}"/>
    <cellStyle name="Style 709 8 2" xfId="4347" xr:uid="{00000000-0005-0000-0000-000098110000}"/>
    <cellStyle name="Style 709 9" xfId="2693" xr:uid="{00000000-0005-0000-0000-000099110000}"/>
    <cellStyle name="Style 709 9 2" xfId="4582" xr:uid="{00000000-0005-0000-0000-00009A110000}"/>
    <cellStyle name="Style 710" xfId="241" xr:uid="{00000000-0005-0000-0000-00009B110000}"/>
    <cellStyle name="Style 710 10" xfId="2928" xr:uid="{00000000-0005-0000-0000-00009C110000}"/>
    <cellStyle name="Style 710 10 2" xfId="4817" xr:uid="{00000000-0005-0000-0000-00009D110000}"/>
    <cellStyle name="Style 710 11" xfId="3165" xr:uid="{00000000-0005-0000-0000-00009E110000}"/>
    <cellStyle name="Style 710 11 2" xfId="5051" xr:uid="{00000000-0005-0000-0000-00009F110000}"/>
    <cellStyle name="Style 710 12" xfId="5287" xr:uid="{00000000-0005-0000-0000-0000A0110000}"/>
    <cellStyle name="Style 710 12 2" xfId="6747" xr:uid="{00000000-0005-0000-0000-0000A0110000}"/>
    <cellStyle name="Style 710 13" xfId="5515" xr:uid="{00000000-0005-0000-0000-0000A1110000}"/>
    <cellStyle name="Style 710 13 2" xfId="6939" xr:uid="{00000000-0005-0000-0000-0000A1110000}"/>
    <cellStyle name="Style 710 14" xfId="5870" xr:uid="{00000000-0005-0000-0000-0000A2110000}"/>
    <cellStyle name="Style 710 14 2" xfId="7290" xr:uid="{00000000-0005-0000-0000-0000A2110000}"/>
    <cellStyle name="Style 710 15" xfId="6361" xr:uid="{00000000-0005-0000-0000-0000A3110000}"/>
    <cellStyle name="Style 710 15 2" xfId="7639" xr:uid="{00000000-0005-0000-0000-0000A3110000}"/>
    <cellStyle name="Style 710 2" xfId="475" xr:uid="{00000000-0005-0000-0000-0000A4110000}"/>
    <cellStyle name="Style 710 2 2" xfId="948" xr:uid="{00000000-0005-0000-0000-0000A5110000}"/>
    <cellStyle name="Style 710 2 2 2" xfId="8664" xr:uid="{18F1D42A-9D6C-4467-901A-505A7D6EE1F9}"/>
    <cellStyle name="Style 710 2 3" xfId="8663" xr:uid="{BF110179-25BD-4E72-8E86-13D41A9EB1E7}"/>
    <cellStyle name="Style 710 3" xfId="709" xr:uid="{00000000-0005-0000-0000-0000A6110000}"/>
    <cellStyle name="Style 710 3 2" xfId="1182" xr:uid="{00000000-0005-0000-0000-0000A7110000}"/>
    <cellStyle name="Style 710 3 3" xfId="8665" xr:uid="{0051D66F-FC47-4265-974F-5F3D8C4453A2}"/>
    <cellStyle name="Style 710 4" xfId="1422" xr:uid="{00000000-0005-0000-0000-0000A8110000}"/>
    <cellStyle name="Style 710 4 2" xfId="3406" xr:uid="{00000000-0005-0000-0000-0000A9110000}"/>
    <cellStyle name="Style 710 4 3" xfId="8666" xr:uid="{0DA2A5F9-7D62-4F52-9ABA-C45624951A1D}"/>
    <cellStyle name="Style 710 5" xfId="1717" xr:uid="{00000000-0005-0000-0000-0000AA110000}"/>
    <cellStyle name="Style 710 5 2" xfId="3644" xr:uid="{00000000-0005-0000-0000-0000AB110000}"/>
    <cellStyle name="Style 710 6" xfId="1968" xr:uid="{00000000-0005-0000-0000-0000AC110000}"/>
    <cellStyle name="Style 710 6 2" xfId="3878" xr:uid="{00000000-0005-0000-0000-0000AD110000}"/>
    <cellStyle name="Style 710 7" xfId="2212" xr:uid="{00000000-0005-0000-0000-0000AE110000}"/>
    <cellStyle name="Style 710 7 2" xfId="4113" xr:uid="{00000000-0005-0000-0000-0000AF110000}"/>
    <cellStyle name="Style 710 8" xfId="2447" xr:uid="{00000000-0005-0000-0000-0000B0110000}"/>
    <cellStyle name="Style 710 8 2" xfId="4348" xr:uid="{00000000-0005-0000-0000-0000B1110000}"/>
    <cellStyle name="Style 710 9" xfId="2694" xr:uid="{00000000-0005-0000-0000-0000B2110000}"/>
    <cellStyle name="Style 710 9 2" xfId="4583" xr:uid="{00000000-0005-0000-0000-0000B3110000}"/>
    <cellStyle name="Style 711" xfId="242" xr:uid="{00000000-0005-0000-0000-0000B4110000}"/>
    <cellStyle name="Style 711 10" xfId="2929" xr:uid="{00000000-0005-0000-0000-0000B5110000}"/>
    <cellStyle name="Style 711 10 2" xfId="4818" xr:uid="{00000000-0005-0000-0000-0000B6110000}"/>
    <cellStyle name="Style 711 11" xfId="3166" xr:uid="{00000000-0005-0000-0000-0000B7110000}"/>
    <cellStyle name="Style 711 11 2" xfId="5052" xr:uid="{00000000-0005-0000-0000-0000B8110000}"/>
    <cellStyle name="Style 711 12" xfId="5288" xr:uid="{00000000-0005-0000-0000-0000B9110000}"/>
    <cellStyle name="Style 711 12 2" xfId="6748" xr:uid="{00000000-0005-0000-0000-0000B9110000}"/>
    <cellStyle name="Style 711 13" xfId="5516" xr:uid="{00000000-0005-0000-0000-0000BA110000}"/>
    <cellStyle name="Style 711 13 2" xfId="6940" xr:uid="{00000000-0005-0000-0000-0000BA110000}"/>
    <cellStyle name="Style 711 14" xfId="5871" xr:uid="{00000000-0005-0000-0000-0000BB110000}"/>
    <cellStyle name="Style 711 14 2" xfId="7291" xr:uid="{00000000-0005-0000-0000-0000BB110000}"/>
    <cellStyle name="Style 711 15" xfId="6362" xr:uid="{00000000-0005-0000-0000-0000BC110000}"/>
    <cellStyle name="Style 711 15 2" xfId="7640" xr:uid="{00000000-0005-0000-0000-0000BC110000}"/>
    <cellStyle name="Style 711 2" xfId="476" xr:uid="{00000000-0005-0000-0000-0000BD110000}"/>
    <cellStyle name="Style 711 2 2" xfId="949" xr:uid="{00000000-0005-0000-0000-0000BE110000}"/>
    <cellStyle name="Style 711 2 2 2" xfId="8668" xr:uid="{1E08E965-F13A-4FAE-9F73-5C77BCC6616D}"/>
    <cellStyle name="Style 711 2 3" xfId="8667" xr:uid="{5688D115-9356-40EE-BBC8-68526B633CD8}"/>
    <cellStyle name="Style 711 3" xfId="710" xr:uid="{00000000-0005-0000-0000-0000BF110000}"/>
    <cellStyle name="Style 711 3 2" xfId="1183" xr:uid="{00000000-0005-0000-0000-0000C0110000}"/>
    <cellStyle name="Style 711 3 3" xfId="8669" xr:uid="{1BAA0920-F486-4868-9455-74AAF9AAEE12}"/>
    <cellStyle name="Style 711 4" xfId="1423" xr:uid="{00000000-0005-0000-0000-0000C1110000}"/>
    <cellStyle name="Style 711 4 2" xfId="3407" xr:uid="{00000000-0005-0000-0000-0000C2110000}"/>
    <cellStyle name="Style 711 4 3" xfId="8670" xr:uid="{DF4CE5B2-F0BB-4048-89FB-44601890ED5E}"/>
    <cellStyle name="Style 711 5" xfId="1718" xr:uid="{00000000-0005-0000-0000-0000C3110000}"/>
    <cellStyle name="Style 711 5 2" xfId="3645" xr:uid="{00000000-0005-0000-0000-0000C4110000}"/>
    <cellStyle name="Style 711 6" xfId="1969" xr:uid="{00000000-0005-0000-0000-0000C5110000}"/>
    <cellStyle name="Style 711 6 2" xfId="3879" xr:uid="{00000000-0005-0000-0000-0000C6110000}"/>
    <cellStyle name="Style 711 7" xfId="2213" xr:uid="{00000000-0005-0000-0000-0000C7110000}"/>
    <cellStyle name="Style 711 7 2" xfId="4114" xr:uid="{00000000-0005-0000-0000-0000C8110000}"/>
    <cellStyle name="Style 711 8" xfId="2448" xr:uid="{00000000-0005-0000-0000-0000C9110000}"/>
    <cellStyle name="Style 711 8 2" xfId="4349" xr:uid="{00000000-0005-0000-0000-0000CA110000}"/>
    <cellStyle name="Style 711 9" xfId="2695" xr:uid="{00000000-0005-0000-0000-0000CB110000}"/>
    <cellStyle name="Style 711 9 2" xfId="4584" xr:uid="{00000000-0005-0000-0000-0000CC110000}"/>
    <cellStyle name="Style 712" xfId="243" xr:uid="{00000000-0005-0000-0000-0000CD110000}"/>
    <cellStyle name="Style 712 10" xfId="2930" xr:uid="{00000000-0005-0000-0000-0000CE110000}"/>
    <cellStyle name="Style 712 10 2" xfId="4819" xr:uid="{00000000-0005-0000-0000-0000CF110000}"/>
    <cellStyle name="Style 712 11" xfId="3167" xr:uid="{00000000-0005-0000-0000-0000D0110000}"/>
    <cellStyle name="Style 712 11 2" xfId="5053" xr:uid="{00000000-0005-0000-0000-0000D1110000}"/>
    <cellStyle name="Style 712 12" xfId="5289" xr:uid="{00000000-0005-0000-0000-0000D2110000}"/>
    <cellStyle name="Style 712 12 2" xfId="6749" xr:uid="{00000000-0005-0000-0000-0000D2110000}"/>
    <cellStyle name="Style 712 13" xfId="5517" xr:uid="{00000000-0005-0000-0000-0000D3110000}"/>
    <cellStyle name="Style 712 13 2" xfId="6941" xr:uid="{00000000-0005-0000-0000-0000D3110000}"/>
    <cellStyle name="Style 712 14" xfId="5872" xr:uid="{00000000-0005-0000-0000-0000D4110000}"/>
    <cellStyle name="Style 712 14 2" xfId="7292" xr:uid="{00000000-0005-0000-0000-0000D4110000}"/>
    <cellStyle name="Style 712 15" xfId="6363" xr:uid="{00000000-0005-0000-0000-0000D5110000}"/>
    <cellStyle name="Style 712 15 2" xfId="7641" xr:uid="{00000000-0005-0000-0000-0000D5110000}"/>
    <cellStyle name="Style 712 2" xfId="477" xr:uid="{00000000-0005-0000-0000-0000D6110000}"/>
    <cellStyle name="Style 712 2 2" xfId="950" xr:uid="{00000000-0005-0000-0000-0000D7110000}"/>
    <cellStyle name="Style 712 2 2 2" xfId="8672" xr:uid="{8BB1A058-9E5D-4E3A-9200-788375236197}"/>
    <cellStyle name="Style 712 2 3" xfId="8671" xr:uid="{6981D97A-2AC0-4750-AF19-D3C96D73281A}"/>
    <cellStyle name="Style 712 3" xfId="711" xr:uid="{00000000-0005-0000-0000-0000D8110000}"/>
    <cellStyle name="Style 712 3 2" xfId="1184" xr:uid="{00000000-0005-0000-0000-0000D9110000}"/>
    <cellStyle name="Style 712 3 3" xfId="8673" xr:uid="{678E761F-9200-49BC-86A2-AFD8F6312182}"/>
    <cellStyle name="Style 712 4" xfId="1424" xr:uid="{00000000-0005-0000-0000-0000DA110000}"/>
    <cellStyle name="Style 712 4 2" xfId="3408" xr:uid="{00000000-0005-0000-0000-0000DB110000}"/>
    <cellStyle name="Style 712 4 3" xfId="8674" xr:uid="{2786D65D-3CDA-4605-8D85-8AB98BD1B63B}"/>
    <cellStyle name="Style 712 5" xfId="1719" xr:uid="{00000000-0005-0000-0000-0000DC110000}"/>
    <cellStyle name="Style 712 5 2" xfId="3646" xr:uid="{00000000-0005-0000-0000-0000DD110000}"/>
    <cellStyle name="Style 712 6" xfId="1970" xr:uid="{00000000-0005-0000-0000-0000DE110000}"/>
    <cellStyle name="Style 712 6 2" xfId="3880" xr:uid="{00000000-0005-0000-0000-0000DF110000}"/>
    <cellStyle name="Style 712 7" xfId="2214" xr:uid="{00000000-0005-0000-0000-0000E0110000}"/>
    <cellStyle name="Style 712 7 2" xfId="4115" xr:uid="{00000000-0005-0000-0000-0000E1110000}"/>
    <cellStyle name="Style 712 8" xfId="2449" xr:uid="{00000000-0005-0000-0000-0000E2110000}"/>
    <cellStyle name="Style 712 8 2" xfId="4350" xr:uid="{00000000-0005-0000-0000-0000E3110000}"/>
    <cellStyle name="Style 712 9" xfId="2696" xr:uid="{00000000-0005-0000-0000-0000E4110000}"/>
    <cellStyle name="Style 712 9 2" xfId="4585" xr:uid="{00000000-0005-0000-0000-0000E5110000}"/>
    <cellStyle name="Style 713" xfId="244" xr:uid="{00000000-0005-0000-0000-0000E6110000}"/>
    <cellStyle name="Style 713 10" xfId="2931" xr:uid="{00000000-0005-0000-0000-0000E7110000}"/>
    <cellStyle name="Style 713 10 2" xfId="4820" xr:uid="{00000000-0005-0000-0000-0000E8110000}"/>
    <cellStyle name="Style 713 11" xfId="3168" xr:uid="{00000000-0005-0000-0000-0000E9110000}"/>
    <cellStyle name="Style 713 11 2" xfId="5054" xr:uid="{00000000-0005-0000-0000-0000EA110000}"/>
    <cellStyle name="Style 713 12" xfId="5290" xr:uid="{00000000-0005-0000-0000-0000EB110000}"/>
    <cellStyle name="Style 713 12 2" xfId="6750" xr:uid="{00000000-0005-0000-0000-0000EB110000}"/>
    <cellStyle name="Style 713 13" xfId="5518" xr:uid="{00000000-0005-0000-0000-0000EC110000}"/>
    <cellStyle name="Style 713 13 2" xfId="6942" xr:uid="{00000000-0005-0000-0000-0000EC110000}"/>
    <cellStyle name="Style 713 14" xfId="5873" xr:uid="{00000000-0005-0000-0000-0000ED110000}"/>
    <cellStyle name="Style 713 14 2" xfId="7293" xr:uid="{00000000-0005-0000-0000-0000ED110000}"/>
    <cellStyle name="Style 713 15" xfId="6364" xr:uid="{00000000-0005-0000-0000-0000EE110000}"/>
    <cellStyle name="Style 713 15 2" xfId="7642" xr:uid="{00000000-0005-0000-0000-0000EE110000}"/>
    <cellStyle name="Style 713 2" xfId="478" xr:uid="{00000000-0005-0000-0000-0000EF110000}"/>
    <cellStyle name="Style 713 2 2" xfId="951" xr:uid="{00000000-0005-0000-0000-0000F0110000}"/>
    <cellStyle name="Style 713 2 2 2" xfId="8676" xr:uid="{D5021408-9C74-4C10-BF4C-CC3D0F117687}"/>
    <cellStyle name="Style 713 2 3" xfId="8675" xr:uid="{CB5B0600-A75F-46E4-8FA3-3B6D579825C0}"/>
    <cellStyle name="Style 713 3" xfId="712" xr:uid="{00000000-0005-0000-0000-0000F1110000}"/>
    <cellStyle name="Style 713 3 2" xfId="1185" xr:uid="{00000000-0005-0000-0000-0000F2110000}"/>
    <cellStyle name="Style 713 3 3" xfId="8677" xr:uid="{FA781DA7-A0DA-42EE-A4F9-672F59AC3331}"/>
    <cellStyle name="Style 713 4" xfId="1425" xr:uid="{00000000-0005-0000-0000-0000F3110000}"/>
    <cellStyle name="Style 713 4 2" xfId="3409" xr:uid="{00000000-0005-0000-0000-0000F4110000}"/>
    <cellStyle name="Style 713 4 3" xfId="8678" xr:uid="{74EF613C-DA80-4A6D-9F10-7E354FBFFABA}"/>
    <cellStyle name="Style 713 5" xfId="1720" xr:uid="{00000000-0005-0000-0000-0000F5110000}"/>
    <cellStyle name="Style 713 5 2" xfId="3647" xr:uid="{00000000-0005-0000-0000-0000F6110000}"/>
    <cellStyle name="Style 713 6" xfId="1971" xr:uid="{00000000-0005-0000-0000-0000F7110000}"/>
    <cellStyle name="Style 713 6 2" xfId="3881" xr:uid="{00000000-0005-0000-0000-0000F8110000}"/>
    <cellStyle name="Style 713 7" xfId="2215" xr:uid="{00000000-0005-0000-0000-0000F9110000}"/>
    <cellStyle name="Style 713 7 2" xfId="4116" xr:uid="{00000000-0005-0000-0000-0000FA110000}"/>
    <cellStyle name="Style 713 8" xfId="2450" xr:uid="{00000000-0005-0000-0000-0000FB110000}"/>
    <cellStyle name="Style 713 8 2" xfId="4351" xr:uid="{00000000-0005-0000-0000-0000FC110000}"/>
    <cellStyle name="Style 713 9" xfId="2697" xr:uid="{00000000-0005-0000-0000-0000FD110000}"/>
    <cellStyle name="Style 713 9 2" xfId="4586" xr:uid="{00000000-0005-0000-0000-0000FE110000}"/>
    <cellStyle name="Style 714" xfId="245" xr:uid="{00000000-0005-0000-0000-0000FF110000}"/>
    <cellStyle name="Style 714 10" xfId="2932" xr:uid="{00000000-0005-0000-0000-000000120000}"/>
    <cellStyle name="Style 714 10 2" xfId="4821" xr:uid="{00000000-0005-0000-0000-000001120000}"/>
    <cellStyle name="Style 714 11" xfId="3169" xr:uid="{00000000-0005-0000-0000-000002120000}"/>
    <cellStyle name="Style 714 11 2" xfId="5055" xr:uid="{00000000-0005-0000-0000-000003120000}"/>
    <cellStyle name="Style 714 12" xfId="5291" xr:uid="{00000000-0005-0000-0000-000004120000}"/>
    <cellStyle name="Style 714 12 2" xfId="6751" xr:uid="{00000000-0005-0000-0000-000004120000}"/>
    <cellStyle name="Style 714 13" xfId="5519" xr:uid="{00000000-0005-0000-0000-000005120000}"/>
    <cellStyle name="Style 714 13 2" xfId="6943" xr:uid="{00000000-0005-0000-0000-000005120000}"/>
    <cellStyle name="Style 714 14" xfId="5874" xr:uid="{00000000-0005-0000-0000-000006120000}"/>
    <cellStyle name="Style 714 14 2" xfId="7294" xr:uid="{00000000-0005-0000-0000-000006120000}"/>
    <cellStyle name="Style 714 15" xfId="6365" xr:uid="{00000000-0005-0000-0000-000007120000}"/>
    <cellStyle name="Style 714 15 2" xfId="7643" xr:uid="{00000000-0005-0000-0000-000007120000}"/>
    <cellStyle name="Style 714 2" xfId="479" xr:uid="{00000000-0005-0000-0000-000008120000}"/>
    <cellStyle name="Style 714 2 2" xfId="952" xr:uid="{00000000-0005-0000-0000-000009120000}"/>
    <cellStyle name="Style 714 2 2 2" xfId="8680" xr:uid="{14827073-0608-4E10-820D-D9020E929C10}"/>
    <cellStyle name="Style 714 2 3" xfId="8679" xr:uid="{466E6401-5CCF-4CB6-A0F7-8C824859C30B}"/>
    <cellStyle name="Style 714 3" xfId="713" xr:uid="{00000000-0005-0000-0000-00000A120000}"/>
    <cellStyle name="Style 714 3 2" xfId="1186" xr:uid="{00000000-0005-0000-0000-00000B120000}"/>
    <cellStyle name="Style 714 3 3" xfId="8681" xr:uid="{8FE9DE8C-6161-4A80-93DB-D3B35479EEA0}"/>
    <cellStyle name="Style 714 4" xfId="1426" xr:uid="{00000000-0005-0000-0000-00000C120000}"/>
    <cellStyle name="Style 714 4 2" xfId="3410" xr:uid="{00000000-0005-0000-0000-00000D120000}"/>
    <cellStyle name="Style 714 4 3" xfId="8682" xr:uid="{71AA6865-CBBF-4991-994C-F162FA4366C9}"/>
    <cellStyle name="Style 714 5" xfId="1721" xr:uid="{00000000-0005-0000-0000-00000E120000}"/>
    <cellStyle name="Style 714 5 2" xfId="3648" xr:uid="{00000000-0005-0000-0000-00000F120000}"/>
    <cellStyle name="Style 714 6" xfId="1972" xr:uid="{00000000-0005-0000-0000-000010120000}"/>
    <cellStyle name="Style 714 6 2" xfId="3882" xr:uid="{00000000-0005-0000-0000-000011120000}"/>
    <cellStyle name="Style 714 7" xfId="2216" xr:uid="{00000000-0005-0000-0000-000012120000}"/>
    <cellStyle name="Style 714 7 2" xfId="4117" xr:uid="{00000000-0005-0000-0000-000013120000}"/>
    <cellStyle name="Style 714 8" xfId="2451" xr:uid="{00000000-0005-0000-0000-000014120000}"/>
    <cellStyle name="Style 714 8 2" xfId="4352" xr:uid="{00000000-0005-0000-0000-000015120000}"/>
    <cellStyle name="Style 714 9" xfId="2698" xr:uid="{00000000-0005-0000-0000-000016120000}"/>
    <cellStyle name="Style 714 9 2" xfId="4587" xr:uid="{00000000-0005-0000-0000-000017120000}"/>
    <cellStyle name="Style 723" xfId="246" xr:uid="{00000000-0005-0000-0000-000018120000}"/>
    <cellStyle name="Style 723 10" xfId="2933" xr:uid="{00000000-0005-0000-0000-000019120000}"/>
    <cellStyle name="Style 723 10 2" xfId="4822" xr:uid="{00000000-0005-0000-0000-00001A120000}"/>
    <cellStyle name="Style 723 11" xfId="3170" xr:uid="{00000000-0005-0000-0000-00001B120000}"/>
    <cellStyle name="Style 723 11 2" xfId="5056" xr:uid="{00000000-0005-0000-0000-00001C120000}"/>
    <cellStyle name="Style 723 12" xfId="5292" xr:uid="{00000000-0005-0000-0000-00001D120000}"/>
    <cellStyle name="Style 723 12 2" xfId="6752" xr:uid="{00000000-0005-0000-0000-00001D120000}"/>
    <cellStyle name="Style 723 13" xfId="5520" xr:uid="{00000000-0005-0000-0000-00001E120000}"/>
    <cellStyle name="Style 723 13 2" xfId="6944" xr:uid="{00000000-0005-0000-0000-00001E120000}"/>
    <cellStyle name="Style 723 14" xfId="5875" xr:uid="{00000000-0005-0000-0000-00001F120000}"/>
    <cellStyle name="Style 723 14 2" xfId="7295" xr:uid="{00000000-0005-0000-0000-00001F120000}"/>
    <cellStyle name="Style 723 15" xfId="6366" xr:uid="{00000000-0005-0000-0000-000020120000}"/>
    <cellStyle name="Style 723 15 2" xfId="7644" xr:uid="{00000000-0005-0000-0000-000020120000}"/>
    <cellStyle name="Style 723 2" xfId="480" xr:uid="{00000000-0005-0000-0000-000021120000}"/>
    <cellStyle name="Style 723 2 2" xfId="953" xr:uid="{00000000-0005-0000-0000-000022120000}"/>
    <cellStyle name="Style 723 2 2 2" xfId="8684" xr:uid="{8D5E21BB-D567-4AB8-8CCC-3CD56ABAF5B0}"/>
    <cellStyle name="Style 723 2 3" xfId="8683" xr:uid="{2ED574BF-4C11-44FB-B66C-C539F95AA04C}"/>
    <cellStyle name="Style 723 3" xfId="714" xr:uid="{00000000-0005-0000-0000-000023120000}"/>
    <cellStyle name="Style 723 3 2" xfId="1187" xr:uid="{00000000-0005-0000-0000-000024120000}"/>
    <cellStyle name="Style 723 3 3" xfId="8685" xr:uid="{B0ED084D-748E-4382-99EB-9B31E23BFD71}"/>
    <cellStyle name="Style 723 4" xfId="1427" xr:uid="{00000000-0005-0000-0000-000025120000}"/>
    <cellStyle name="Style 723 4 2" xfId="3411" xr:uid="{00000000-0005-0000-0000-000026120000}"/>
    <cellStyle name="Style 723 5" xfId="1722" xr:uid="{00000000-0005-0000-0000-000027120000}"/>
    <cellStyle name="Style 723 5 2" xfId="3649" xr:uid="{00000000-0005-0000-0000-000028120000}"/>
    <cellStyle name="Style 723 6" xfId="1973" xr:uid="{00000000-0005-0000-0000-000029120000}"/>
    <cellStyle name="Style 723 6 2" xfId="3883" xr:uid="{00000000-0005-0000-0000-00002A120000}"/>
    <cellStyle name="Style 723 7" xfId="2217" xr:uid="{00000000-0005-0000-0000-00002B120000}"/>
    <cellStyle name="Style 723 7 2" xfId="4118" xr:uid="{00000000-0005-0000-0000-00002C120000}"/>
    <cellStyle name="Style 723 8" xfId="2452" xr:uid="{00000000-0005-0000-0000-00002D120000}"/>
    <cellStyle name="Style 723 8 2" xfId="4353" xr:uid="{00000000-0005-0000-0000-00002E120000}"/>
    <cellStyle name="Style 723 9" xfId="2699" xr:uid="{00000000-0005-0000-0000-00002F120000}"/>
    <cellStyle name="Style 723 9 2" xfId="4588" xr:uid="{00000000-0005-0000-0000-000030120000}"/>
    <cellStyle name="Style 740" xfId="247" xr:uid="{00000000-0005-0000-0000-000031120000}"/>
    <cellStyle name="Style 740 10" xfId="2934" xr:uid="{00000000-0005-0000-0000-000032120000}"/>
    <cellStyle name="Style 740 10 2" xfId="4823" xr:uid="{00000000-0005-0000-0000-000033120000}"/>
    <cellStyle name="Style 740 11" xfId="3171" xr:uid="{00000000-0005-0000-0000-000034120000}"/>
    <cellStyle name="Style 740 11 2" xfId="5057" xr:uid="{00000000-0005-0000-0000-000035120000}"/>
    <cellStyle name="Style 740 12" xfId="5293" xr:uid="{00000000-0005-0000-0000-000036120000}"/>
    <cellStyle name="Style 740 12 2" xfId="6753" xr:uid="{00000000-0005-0000-0000-000036120000}"/>
    <cellStyle name="Style 740 13" xfId="5521" xr:uid="{00000000-0005-0000-0000-000037120000}"/>
    <cellStyle name="Style 740 13 2" xfId="6945" xr:uid="{00000000-0005-0000-0000-000037120000}"/>
    <cellStyle name="Style 740 14" xfId="5876" xr:uid="{00000000-0005-0000-0000-000038120000}"/>
    <cellStyle name="Style 740 14 2" xfId="7296" xr:uid="{00000000-0005-0000-0000-000038120000}"/>
    <cellStyle name="Style 740 15" xfId="6367" xr:uid="{00000000-0005-0000-0000-000039120000}"/>
    <cellStyle name="Style 740 15 2" xfId="7645" xr:uid="{00000000-0005-0000-0000-000039120000}"/>
    <cellStyle name="Style 740 2" xfId="481" xr:uid="{00000000-0005-0000-0000-00003A120000}"/>
    <cellStyle name="Style 740 2 2" xfId="954" xr:uid="{00000000-0005-0000-0000-00003B120000}"/>
    <cellStyle name="Style 740 2 2 2" xfId="8687" xr:uid="{04C9464E-6F32-475C-B9B7-41F57F0F68A1}"/>
    <cellStyle name="Style 740 2 3" xfId="8686" xr:uid="{067387BD-53AF-46EC-ACA1-CE8CEDD30922}"/>
    <cellStyle name="Style 740 3" xfId="715" xr:uid="{00000000-0005-0000-0000-00003C120000}"/>
    <cellStyle name="Style 740 3 2" xfId="1188" xr:uid="{00000000-0005-0000-0000-00003D120000}"/>
    <cellStyle name="Style 740 3 3" xfId="8688" xr:uid="{5A70C082-05A5-47A0-B5C5-C33CDE238246}"/>
    <cellStyle name="Style 740 4" xfId="1428" xr:uid="{00000000-0005-0000-0000-00003E120000}"/>
    <cellStyle name="Style 740 4 2" xfId="3412" xr:uid="{00000000-0005-0000-0000-00003F120000}"/>
    <cellStyle name="Style 740 4 3" xfId="8689" xr:uid="{911123C3-59EA-48D2-8FB7-BB077761649F}"/>
    <cellStyle name="Style 740 5" xfId="1723" xr:uid="{00000000-0005-0000-0000-000040120000}"/>
    <cellStyle name="Style 740 5 2" xfId="3650" xr:uid="{00000000-0005-0000-0000-000041120000}"/>
    <cellStyle name="Style 740 6" xfId="1974" xr:uid="{00000000-0005-0000-0000-000042120000}"/>
    <cellStyle name="Style 740 6 2" xfId="3884" xr:uid="{00000000-0005-0000-0000-000043120000}"/>
    <cellStyle name="Style 740 7" xfId="2218" xr:uid="{00000000-0005-0000-0000-000044120000}"/>
    <cellStyle name="Style 740 7 2" xfId="4119" xr:uid="{00000000-0005-0000-0000-000045120000}"/>
    <cellStyle name="Style 740 8" xfId="2453" xr:uid="{00000000-0005-0000-0000-000046120000}"/>
    <cellStyle name="Style 740 8 2" xfId="4354" xr:uid="{00000000-0005-0000-0000-000047120000}"/>
    <cellStyle name="Style 740 9" xfId="2700" xr:uid="{00000000-0005-0000-0000-000048120000}"/>
    <cellStyle name="Style 740 9 2" xfId="4589" xr:uid="{00000000-0005-0000-0000-000049120000}"/>
    <cellStyle name="Style 741" xfId="248" xr:uid="{00000000-0005-0000-0000-00004A120000}"/>
    <cellStyle name="Style 741 10" xfId="2935" xr:uid="{00000000-0005-0000-0000-00004B120000}"/>
    <cellStyle name="Style 741 10 2" xfId="4824" xr:uid="{00000000-0005-0000-0000-00004C120000}"/>
    <cellStyle name="Style 741 11" xfId="3172" xr:uid="{00000000-0005-0000-0000-00004D120000}"/>
    <cellStyle name="Style 741 11 2" xfId="5058" xr:uid="{00000000-0005-0000-0000-00004E120000}"/>
    <cellStyle name="Style 741 12" xfId="5294" xr:uid="{00000000-0005-0000-0000-00004F120000}"/>
    <cellStyle name="Style 741 12 2" xfId="6754" xr:uid="{00000000-0005-0000-0000-00004F120000}"/>
    <cellStyle name="Style 741 13" xfId="5522" xr:uid="{00000000-0005-0000-0000-000050120000}"/>
    <cellStyle name="Style 741 13 2" xfId="6946" xr:uid="{00000000-0005-0000-0000-000050120000}"/>
    <cellStyle name="Style 741 14" xfId="5877" xr:uid="{00000000-0005-0000-0000-000051120000}"/>
    <cellStyle name="Style 741 14 2" xfId="7297" xr:uid="{00000000-0005-0000-0000-000051120000}"/>
    <cellStyle name="Style 741 15" xfId="6368" xr:uid="{00000000-0005-0000-0000-000052120000}"/>
    <cellStyle name="Style 741 15 2" xfId="7646" xr:uid="{00000000-0005-0000-0000-000052120000}"/>
    <cellStyle name="Style 741 2" xfId="482" xr:uid="{00000000-0005-0000-0000-000053120000}"/>
    <cellStyle name="Style 741 2 2" xfId="955" xr:uid="{00000000-0005-0000-0000-000054120000}"/>
    <cellStyle name="Style 741 2 2 2" xfId="8691" xr:uid="{3CCD4F18-F13F-4A4D-A336-C23FCC39017B}"/>
    <cellStyle name="Style 741 2 3" xfId="8690" xr:uid="{B08C1C99-B814-4C40-9AB1-75316DD25F92}"/>
    <cellStyle name="Style 741 3" xfId="716" xr:uid="{00000000-0005-0000-0000-000055120000}"/>
    <cellStyle name="Style 741 3 2" xfId="1189" xr:uid="{00000000-0005-0000-0000-000056120000}"/>
    <cellStyle name="Style 741 3 3" xfId="8692" xr:uid="{75CEC501-7B29-411A-8074-7095C124029C}"/>
    <cellStyle name="Style 741 4" xfId="1429" xr:uid="{00000000-0005-0000-0000-000057120000}"/>
    <cellStyle name="Style 741 4 2" xfId="3413" xr:uid="{00000000-0005-0000-0000-000058120000}"/>
    <cellStyle name="Style 741 4 3" xfId="8693" xr:uid="{FACFDCFE-B946-4384-B930-644E13F11451}"/>
    <cellStyle name="Style 741 5" xfId="1724" xr:uid="{00000000-0005-0000-0000-000059120000}"/>
    <cellStyle name="Style 741 5 2" xfId="3651" xr:uid="{00000000-0005-0000-0000-00005A120000}"/>
    <cellStyle name="Style 741 6" xfId="1975" xr:uid="{00000000-0005-0000-0000-00005B120000}"/>
    <cellStyle name="Style 741 6 2" xfId="3885" xr:uid="{00000000-0005-0000-0000-00005C120000}"/>
    <cellStyle name="Style 741 7" xfId="2219" xr:uid="{00000000-0005-0000-0000-00005D120000}"/>
    <cellStyle name="Style 741 7 2" xfId="4120" xr:uid="{00000000-0005-0000-0000-00005E120000}"/>
    <cellStyle name="Style 741 8" xfId="2454" xr:uid="{00000000-0005-0000-0000-00005F120000}"/>
    <cellStyle name="Style 741 8 2" xfId="4355" xr:uid="{00000000-0005-0000-0000-000060120000}"/>
    <cellStyle name="Style 741 9" xfId="2701" xr:uid="{00000000-0005-0000-0000-000061120000}"/>
    <cellStyle name="Style 741 9 2" xfId="4590" xr:uid="{00000000-0005-0000-0000-000062120000}"/>
    <cellStyle name="Style 742" xfId="249" xr:uid="{00000000-0005-0000-0000-000063120000}"/>
    <cellStyle name="Style 742 10" xfId="2936" xr:uid="{00000000-0005-0000-0000-000064120000}"/>
    <cellStyle name="Style 742 10 2" xfId="4825" xr:uid="{00000000-0005-0000-0000-000065120000}"/>
    <cellStyle name="Style 742 11" xfId="3173" xr:uid="{00000000-0005-0000-0000-000066120000}"/>
    <cellStyle name="Style 742 11 2" xfId="5059" xr:uid="{00000000-0005-0000-0000-000067120000}"/>
    <cellStyle name="Style 742 12" xfId="5295" xr:uid="{00000000-0005-0000-0000-000068120000}"/>
    <cellStyle name="Style 742 12 2" xfId="6755" xr:uid="{00000000-0005-0000-0000-000068120000}"/>
    <cellStyle name="Style 742 13" xfId="5523" xr:uid="{00000000-0005-0000-0000-000069120000}"/>
    <cellStyle name="Style 742 13 2" xfId="6947" xr:uid="{00000000-0005-0000-0000-000069120000}"/>
    <cellStyle name="Style 742 14" xfId="5878" xr:uid="{00000000-0005-0000-0000-00006A120000}"/>
    <cellStyle name="Style 742 14 2" xfId="7298" xr:uid="{00000000-0005-0000-0000-00006A120000}"/>
    <cellStyle name="Style 742 15" xfId="6369" xr:uid="{00000000-0005-0000-0000-00006B120000}"/>
    <cellStyle name="Style 742 15 2" xfId="7647" xr:uid="{00000000-0005-0000-0000-00006B120000}"/>
    <cellStyle name="Style 742 2" xfId="483" xr:uid="{00000000-0005-0000-0000-00006C120000}"/>
    <cellStyle name="Style 742 2 2" xfId="956" xr:uid="{00000000-0005-0000-0000-00006D120000}"/>
    <cellStyle name="Style 742 2 2 2" xfId="8695" xr:uid="{603AD481-E4E1-43A1-85F6-34E1DFB44E24}"/>
    <cellStyle name="Style 742 2 3" xfId="8694" xr:uid="{99016394-7AE9-458D-8375-3373AB15D42E}"/>
    <cellStyle name="Style 742 3" xfId="717" xr:uid="{00000000-0005-0000-0000-00006E120000}"/>
    <cellStyle name="Style 742 3 2" xfId="1190" xr:uid="{00000000-0005-0000-0000-00006F120000}"/>
    <cellStyle name="Style 742 3 3" xfId="8696" xr:uid="{6A9D7F7C-3B7A-4483-81FF-AE731B8118BC}"/>
    <cellStyle name="Style 742 4" xfId="1430" xr:uid="{00000000-0005-0000-0000-000070120000}"/>
    <cellStyle name="Style 742 4 2" xfId="3414" xr:uid="{00000000-0005-0000-0000-000071120000}"/>
    <cellStyle name="Style 742 4 3" xfId="8697" xr:uid="{EC541BF3-F569-4300-98C0-05692F168E17}"/>
    <cellStyle name="Style 742 5" xfId="1725" xr:uid="{00000000-0005-0000-0000-000072120000}"/>
    <cellStyle name="Style 742 5 2" xfId="3652" xr:uid="{00000000-0005-0000-0000-000073120000}"/>
    <cellStyle name="Style 742 6" xfId="1976" xr:uid="{00000000-0005-0000-0000-000074120000}"/>
    <cellStyle name="Style 742 6 2" xfId="3886" xr:uid="{00000000-0005-0000-0000-000075120000}"/>
    <cellStyle name="Style 742 7" xfId="2220" xr:uid="{00000000-0005-0000-0000-000076120000}"/>
    <cellStyle name="Style 742 7 2" xfId="4121" xr:uid="{00000000-0005-0000-0000-000077120000}"/>
    <cellStyle name="Style 742 8" xfId="2455" xr:uid="{00000000-0005-0000-0000-000078120000}"/>
    <cellStyle name="Style 742 8 2" xfId="4356" xr:uid="{00000000-0005-0000-0000-000079120000}"/>
    <cellStyle name="Style 742 9" xfId="2702" xr:uid="{00000000-0005-0000-0000-00007A120000}"/>
    <cellStyle name="Style 742 9 2" xfId="4591" xr:uid="{00000000-0005-0000-0000-00007B120000}"/>
    <cellStyle name="Style 743" xfId="250" xr:uid="{00000000-0005-0000-0000-00007C120000}"/>
    <cellStyle name="Style 743 10" xfId="2937" xr:uid="{00000000-0005-0000-0000-00007D120000}"/>
    <cellStyle name="Style 743 10 2" xfId="4826" xr:uid="{00000000-0005-0000-0000-00007E120000}"/>
    <cellStyle name="Style 743 11" xfId="3174" xr:uid="{00000000-0005-0000-0000-00007F120000}"/>
    <cellStyle name="Style 743 11 2" xfId="5060" xr:uid="{00000000-0005-0000-0000-000080120000}"/>
    <cellStyle name="Style 743 12" xfId="5296" xr:uid="{00000000-0005-0000-0000-000081120000}"/>
    <cellStyle name="Style 743 12 2" xfId="6756" xr:uid="{00000000-0005-0000-0000-000081120000}"/>
    <cellStyle name="Style 743 13" xfId="5524" xr:uid="{00000000-0005-0000-0000-000082120000}"/>
    <cellStyle name="Style 743 13 2" xfId="6948" xr:uid="{00000000-0005-0000-0000-000082120000}"/>
    <cellStyle name="Style 743 14" xfId="5879" xr:uid="{00000000-0005-0000-0000-000083120000}"/>
    <cellStyle name="Style 743 14 2" xfId="7299" xr:uid="{00000000-0005-0000-0000-000083120000}"/>
    <cellStyle name="Style 743 15" xfId="6370" xr:uid="{00000000-0005-0000-0000-000084120000}"/>
    <cellStyle name="Style 743 15 2" xfId="7648" xr:uid="{00000000-0005-0000-0000-000084120000}"/>
    <cellStyle name="Style 743 2" xfId="484" xr:uid="{00000000-0005-0000-0000-000085120000}"/>
    <cellStyle name="Style 743 2 2" xfId="957" xr:uid="{00000000-0005-0000-0000-000086120000}"/>
    <cellStyle name="Style 743 2 2 2" xfId="8699" xr:uid="{7BE26D7A-04F2-4F39-B561-F8D53D4BA547}"/>
    <cellStyle name="Style 743 2 3" xfId="8698" xr:uid="{F7EE2339-11B8-4F9A-8A20-F6BA3B64B0B3}"/>
    <cellStyle name="Style 743 3" xfId="718" xr:uid="{00000000-0005-0000-0000-000087120000}"/>
    <cellStyle name="Style 743 3 2" xfId="1191" xr:uid="{00000000-0005-0000-0000-000088120000}"/>
    <cellStyle name="Style 743 3 3" xfId="8700" xr:uid="{6AEFF671-9C1F-49DD-BC8D-FA472384885B}"/>
    <cellStyle name="Style 743 4" xfId="1431" xr:uid="{00000000-0005-0000-0000-000089120000}"/>
    <cellStyle name="Style 743 4 2" xfId="3415" xr:uid="{00000000-0005-0000-0000-00008A120000}"/>
    <cellStyle name="Style 743 4 3" xfId="8701" xr:uid="{6A6D795F-F759-46BA-9DD6-74BAE1943F02}"/>
    <cellStyle name="Style 743 5" xfId="1726" xr:uid="{00000000-0005-0000-0000-00008B120000}"/>
    <cellStyle name="Style 743 5 2" xfId="3653" xr:uid="{00000000-0005-0000-0000-00008C120000}"/>
    <cellStyle name="Style 743 6" xfId="1977" xr:uid="{00000000-0005-0000-0000-00008D120000}"/>
    <cellStyle name="Style 743 6 2" xfId="3887" xr:uid="{00000000-0005-0000-0000-00008E120000}"/>
    <cellStyle name="Style 743 7" xfId="2221" xr:uid="{00000000-0005-0000-0000-00008F120000}"/>
    <cellStyle name="Style 743 7 2" xfId="4122" xr:uid="{00000000-0005-0000-0000-000090120000}"/>
    <cellStyle name="Style 743 8" xfId="2456" xr:uid="{00000000-0005-0000-0000-000091120000}"/>
    <cellStyle name="Style 743 8 2" xfId="4357" xr:uid="{00000000-0005-0000-0000-000092120000}"/>
    <cellStyle name="Style 743 9" xfId="2703" xr:uid="{00000000-0005-0000-0000-000093120000}"/>
    <cellStyle name="Style 743 9 2" xfId="4592" xr:uid="{00000000-0005-0000-0000-000094120000}"/>
    <cellStyle name="Style 744" xfId="251" xr:uid="{00000000-0005-0000-0000-000095120000}"/>
    <cellStyle name="Style 744 10" xfId="2938" xr:uid="{00000000-0005-0000-0000-000096120000}"/>
    <cellStyle name="Style 744 10 2" xfId="4827" xr:uid="{00000000-0005-0000-0000-000097120000}"/>
    <cellStyle name="Style 744 11" xfId="3175" xr:uid="{00000000-0005-0000-0000-000098120000}"/>
    <cellStyle name="Style 744 11 2" xfId="5061" xr:uid="{00000000-0005-0000-0000-000099120000}"/>
    <cellStyle name="Style 744 12" xfId="5297" xr:uid="{00000000-0005-0000-0000-00009A120000}"/>
    <cellStyle name="Style 744 12 2" xfId="6757" xr:uid="{00000000-0005-0000-0000-00009A120000}"/>
    <cellStyle name="Style 744 13" xfId="5525" xr:uid="{00000000-0005-0000-0000-00009B120000}"/>
    <cellStyle name="Style 744 13 2" xfId="6949" xr:uid="{00000000-0005-0000-0000-00009B120000}"/>
    <cellStyle name="Style 744 14" xfId="5880" xr:uid="{00000000-0005-0000-0000-00009C120000}"/>
    <cellStyle name="Style 744 14 2" xfId="7300" xr:uid="{00000000-0005-0000-0000-00009C120000}"/>
    <cellStyle name="Style 744 15" xfId="6371" xr:uid="{00000000-0005-0000-0000-00009D120000}"/>
    <cellStyle name="Style 744 15 2" xfId="7649" xr:uid="{00000000-0005-0000-0000-00009D120000}"/>
    <cellStyle name="Style 744 2" xfId="485" xr:uid="{00000000-0005-0000-0000-00009E120000}"/>
    <cellStyle name="Style 744 2 2" xfId="958" xr:uid="{00000000-0005-0000-0000-00009F120000}"/>
    <cellStyle name="Style 744 2 2 2" xfId="8703" xr:uid="{C289B6BD-5320-4726-B26D-A86AC44ED899}"/>
    <cellStyle name="Style 744 2 3" xfId="8702" xr:uid="{6FEDAF30-4364-4E6D-B090-BA09B18257E9}"/>
    <cellStyle name="Style 744 3" xfId="719" xr:uid="{00000000-0005-0000-0000-0000A0120000}"/>
    <cellStyle name="Style 744 3 2" xfId="1192" xr:uid="{00000000-0005-0000-0000-0000A1120000}"/>
    <cellStyle name="Style 744 3 3" xfId="8704" xr:uid="{58B81845-959F-45B6-BAA7-289A007594DF}"/>
    <cellStyle name="Style 744 4" xfId="1432" xr:uid="{00000000-0005-0000-0000-0000A2120000}"/>
    <cellStyle name="Style 744 4 2" xfId="3416" xr:uid="{00000000-0005-0000-0000-0000A3120000}"/>
    <cellStyle name="Style 744 4 3" xfId="8705" xr:uid="{26F885BE-323F-4D1E-B575-80CC45365BCA}"/>
    <cellStyle name="Style 744 5" xfId="1727" xr:uid="{00000000-0005-0000-0000-0000A4120000}"/>
    <cellStyle name="Style 744 5 2" xfId="3654" xr:uid="{00000000-0005-0000-0000-0000A5120000}"/>
    <cellStyle name="Style 744 6" xfId="1978" xr:uid="{00000000-0005-0000-0000-0000A6120000}"/>
    <cellStyle name="Style 744 6 2" xfId="3888" xr:uid="{00000000-0005-0000-0000-0000A7120000}"/>
    <cellStyle name="Style 744 7" xfId="2222" xr:uid="{00000000-0005-0000-0000-0000A8120000}"/>
    <cellStyle name="Style 744 7 2" xfId="4123" xr:uid="{00000000-0005-0000-0000-0000A9120000}"/>
    <cellStyle name="Style 744 8" xfId="2457" xr:uid="{00000000-0005-0000-0000-0000AA120000}"/>
    <cellStyle name="Style 744 8 2" xfId="4358" xr:uid="{00000000-0005-0000-0000-0000AB120000}"/>
    <cellStyle name="Style 744 9" xfId="2704" xr:uid="{00000000-0005-0000-0000-0000AC120000}"/>
    <cellStyle name="Style 744 9 2" xfId="4593" xr:uid="{00000000-0005-0000-0000-0000AD120000}"/>
    <cellStyle name="Style 745" xfId="252" xr:uid="{00000000-0005-0000-0000-0000AE120000}"/>
    <cellStyle name="Style 745 10" xfId="2939" xr:uid="{00000000-0005-0000-0000-0000AF120000}"/>
    <cellStyle name="Style 745 10 2" xfId="4828" xr:uid="{00000000-0005-0000-0000-0000B0120000}"/>
    <cellStyle name="Style 745 11" xfId="3176" xr:uid="{00000000-0005-0000-0000-0000B1120000}"/>
    <cellStyle name="Style 745 11 2" xfId="5062" xr:uid="{00000000-0005-0000-0000-0000B2120000}"/>
    <cellStyle name="Style 745 12" xfId="5298" xr:uid="{00000000-0005-0000-0000-0000B3120000}"/>
    <cellStyle name="Style 745 12 2" xfId="6758" xr:uid="{00000000-0005-0000-0000-0000B3120000}"/>
    <cellStyle name="Style 745 13" xfId="5526" xr:uid="{00000000-0005-0000-0000-0000B4120000}"/>
    <cellStyle name="Style 745 13 2" xfId="6950" xr:uid="{00000000-0005-0000-0000-0000B4120000}"/>
    <cellStyle name="Style 745 14" xfId="5881" xr:uid="{00000000-0005-0000-0000-0000B5120000}"/>
    <cellStyle name="Style 745 14 2" xfId="7301" xr:uid="{00000000-0005-0000-0000-0000B5120000}"/>
    <cellStyle name="Style 745 15" xfId="6372" xr:uid="{00000000-0005-0000-0000-0000B6120000}"/>
    <cellStyle name="Style 745 15 2" xfId="7650" xr:uid="{00000000-0005-0000-0000-0000B6120000}"/>
    <cellStyle name="Style 745 2" xfId="486" xr:uid="{00000000-0005-0000-0000-0000B7120000}"/>
    <cellStyle name="Style 745 2 2" xfId="959" xr:uid="{00000000-0005-0000-0000-0000B8120000}"/>
    <cellStyle name="Style 745 2 2 2" xfId="8707" xr:uid="{FF70F8E8-A1AC-4EB6-A302-3F7E213F8E43}"/>
    <cellStyle name="Style 745 2 3" xfId="8706" xr:uid="{B99EAA3F-2ADC-457E-84A6-C3B5E4AF5DED}"/>
    <cellStyle name="Style 745 3" xfId="720" xr:uid="{00000000-0005-0000-0000-0000B9120000}"/>
    <cellStyle name="Style 745 3 2" xfId="1193" xr:uid="{00000000-0005-0000-0000-0000BA120000}"/>
    <cellStyle name="Style 745 3 3" xfId="8708" xr:uid="{97C1797E-D971-4327-97DF-ED8098AC4051}"/>
    <cellStyle name="Style 745 4" xfId="1433" xr:uid="{00000000-0005-0000-0000-0000BB120000}"/>
    <cellStyle name="Style 745 4 2" xfId="3417" xr:uid="{00000000-0005-0000-0000-0000BC120000}"/>
    <cellStyle name="Style 745 4 3" xfId="8709" xr:uid="{35E46C22-5AE4-4BC0-87D8-81985E52B6D6}"/>
    <cellStyle name="Style 745 5" xfId="1728" xr:uid="{00000000-0005-0000-0000-0000BD120000}"/>
    <cellStyle name="Style 745 5 2" xfId="3655" xr:uid="{00000000-0005-0000-0000-0000BE120000}"/>
    <cellStyle name="Style 745 6" xfId="1979" xr:uid="{00000000-0005-0000-0000-0000BF120000}"/>
    <cellStyle name="Style 745 6 2" xfId="3889" xr:uid="{00000000-0005-0000-0000-0000C0120000}"/>
    <cellStyle name="Style 745 7" xfId="2223" xr:uid="{00000000-0005-0000-0000-0000C1120000}"/>
    <cellStyle name="Style 745 7 2" xfId="4124" xr:uid="{00000000-0005-0000-0000-0000C2120000}"/>
    <cellStyle name="Style 745 8" xfId="2458" xr:uid="{00000000-0005-0000-0000-0000C3120000}"/>
    <cellStyle name="Style 745 8 2" xfId="4359" xr:uid="{00000000-0005-0000-0000-0000C4120000}"/>
    <cellStyle name="Style 745 9" xfId="2705" xr:uid="{00000000-0005-0000-0000-0000C5120000}"/>
    <cellStyle name="Style 745 9 2" xfId="4594" xr:uid="{00000000-0005-0000-0000-0000C6120000}"/>
    <cellStyle name="Style 746" xfId="253" xr:uid="{00000000-0005-0000-0000-0000C7120000}"/>
    <cellStyle name="Style 746 10" xfId="2940" xr:uid="{00000000-0005-0000-0000-0000C8120000}"/>
    <cellStyle name="Style 746 10 2" xfId="4829" xr:uid="{00000000-0005-0000-0000-0000C9120000}"/>
    <cellStyle name="Style 746 11" xfId="3177" xr:uid="{00000000-0005-0000-0000-0000CA120000}"/>
    <cellStyle name="Style 746 11 2" xfId="5063" xr:uid="{00000000-0005-0000-0000-0000CB120000}"/>
    <cellStyle name="Style 746 12" xfId="5299" xr:uid="{00000000-0005-0000-0000-0000CC120000}"/>
    <cellStyle name="Style 746 12 2" xfId="6759" xr:uid="{00000000-0005-0000-0000-0000CC120000}"/>
    <cellStyle name="Style 746 13" xfId="5527" xr:uid="{00000000-0005-0000-0000-0000CD120000}"/>
    <cellStyle name="Style 746 13 2" xfId="6951" xr:uid="{00000000-0005-0000-0000-0000CD120000}"/>
    <cellStyle name="Style 746 14" xfId="5882" xr:uid="{00000000-0005-0000-0000-0000CE120000}"/>
    <cellStyle name="Style 746 14 2" xfId="7302" xr:uid="{00000000-0005-0000-0000-0000CE120000}"/>
    <cellStyle name="Style 746 15" xfId="6373" xr:uid="{00000000-0005-0000-0000-0000CF120000}"/>
    <cellStyle name="Style 746 15 2" xfId="7651" xr:uid="{00000000-0005-0000-0000-0000CF120000}"/>
    <cellStyle name="Style 746 2" xfId="487" xr:uid="{00000000-0005-0000-0000-0000D0120000}"/>
    <cellStyle name="Style 746 2 2" xfId="960" xr:uid="{00000000-0005-0000-0000-0000D1120000}"/>
    <cellStyle name="Style 746 2 2 2" xfId="8711" xr:uid="{939D28F4-6C8D-40B3-BCAD-52275185E43E}"/>
    <cellStyle name="Style 746 2 3" xfId="8710" xr:uid="{5C33CB59-663B-4650-B610-ADE54AA70471}"/>
    <cellStyle name="Style 746 3" xfId="721" xr:uid="{00000000-0005-0000-0000-0000D2120000}"/>
    <cellStyle name="Style 746 3 2" xfId="1194" xr:uid="{00000000-0005-0000-0000-0000D3120000}"/>
    <cellStyle name="Style 746 3 3" xfId="8712" xr:uid="{F6BABAFF-9976-4361-8843-63CA136FE09E}"/>
    <cellStyle name="Style 746 4" xfId="1434" xr:uid="{00000000-0005-0000-0000-0000D4120000}"/>
    <cellStyle name="Style 746 4 2" xfId="3418" xr:uid="{00000000-0005-0000-0000-0000D5120000}"/>
    <cellStyle name="Style 746 4 3" xfId="8713" xr:uid="{546A835D-AD72-417F-B1F1-B472E6EBA9D3}"/>
    <cellStyle name="Style 746 5" xfId="1729" xr:uid="{00000000-0005-0000-0000-0000D6120000}"/>
    <cellStyle name="Style 746 5 2" xfId="3656" xr:uid="{00000000-0005-0000-0000-0000D7120000}"/>
    <cellStyle name="Style 746 6" xfId="1980" xr:uid="{00000000-0005-0000-0000-0000D8120000}"/>
    <cellStyle name="Style 746 6 2" xfId="3890" xr:uid="{00000000-0005-0000-0000-0000D9120000}"/>
    <cellStyle name="Style 746 7" xfId="2224" xr:uid="{00000000-0005-0000-0000-0000DA120000}"/>
    <cellStyle name="Style 746 7 2" xfId="4125" xr:uid="{00000000-0005-0000-0000-0000DB120000}"/>
    <cellStyle name="Style 746 8" xfId="2459" xr:uid="{00000000-0005-0000-0000-0000DC120000}"/>
    <cellStyle name="Style 746 8 2" xfId="4360" xr:uid="{00000000-0005-0000-0000-0000DD120000}"/>
    <cellStyle name="Style 746 9" xfId="2706" xr:uid="{00000000-0005-0000-0000-0000DE120000}"/>
    <cellStyle name="Style 746 9 2" xfId="4595" xr:uid="{00000000-0005-0000-0000-0000DF120000}"/>
    <cellStyle name="Style 747" xfId="254" xr:uid="{00000000-0005-0000-0000-0000E0120000}"/>
    <cellStyle name="Style 747 10" xfId="2941" xr:uid="{00000000-0005-0000-0000-0000E1120000}"/>
    <cellStyle name="Style 747 10 2" xfId="4830" xr:uid="{00000000-0005-0000-0000-0000E2120000}"/>
    <cellStyle name="Style 747 11" xfId="3178" xr:uid="{00000000-0005-0000-0000-0000E3120000}"/>
    <cellStyle name="Style 747 11 2" xfId="5064" xr:uid="{00000000-0005-0000-0000-0000E4120000}"/>
    <cellStyle name="Style 747 12" xfId="5300" xr:uid="{00000000-0005-0000-0000-0000E5120000}"/>
    <cellStyle name="Style 747 12 2" xfId="6760" xr:uid="{00000000-0005-0000-0000-0000E5120000}"/>
    <cellStyle name="Style 747 13" xfId="5528" xr:uid="{00000000-0005-0000-0000-0000E6120000}"/>
    <cellStyle name="Style 747 13 2" xfId="6952" xr:uid="{00000000-0005-0000-0000-0000E6120000}"/>
    <cellStyle name="Style 747 14" xfId="5883" xr:uid="{00000000-0005-0000-0000-0000E7120000}"/>
    <cellStyle name="Style 747 14 2" xfId="7303" xr:uid="{00000000-0005-0000-0000-0000E7120000}"/>
    <cellStyle name="Style 747 15" xfId="6374" xr:uid="{00000000-0005-0000-0000-0000E8120000}"/>
    <cellStyle name="Style 747 15 2" xfId="7652" xr:uid="{00000000-0005-0000-0000-0000E8120000}"/>
    <cellStyle name="Style 747 2" xfId="488" xr:uid="{00000000-0005-0000-0000-0000E9120000}"/>
    <cellStyle name="Style 747 2 2" xfId="961" xr:uid="{00000000-0005-0000-0000-0000EA120000}"/>
    <cellStyle name="Style 747 2 2 2" xfId="8715" xr:uid="{B081BE25-427E-4E79-853C-BD05C664FEE5}"/>
    <cellStyle name="Style 747 2 3" xfId="8714" xr:uid="{E9119397-72B5-4D1B-92A2-55C4F9A750E5}"/>
    <cellStyle name="Style 747 3" xfId="722" xr:uid="{00000000-0005-0000-0000-0000EB120000}"/>
    <cellStyle name="Style 747 3 2" xfId="1195" xr:uid="{00000000-0005-0000-0000-0000EC120000}"/>
    <cellStyle name="Style 747 3 3" xfId="8716" xr:uid="{A99F8765-9B89-4D0F-8135-9647D0911514}"/>
    <cellStyle name="Style 747 4" xfId="1435" xr:uid="{00000000-0005-0000-0000-0000ED120000}"/>
    <cellStyle name="Style 747 4 2" xfId="3419" xr:uid="{00000000-0005-0000-0000-0000EE120000}"/>
    <cellStyle name="Style 747 4 3" xfId="8717" xr:uid="{0695D7FB-0D97-47B0-9B0D-23D994BF8B31}"/>
    <cellStyle name="Style 747 5" xfId="1730" xr:uid="{00000000-0005-0000-0000-0000EF120000}"/>
    <cellStyle name="Style 747 5 2" xfId="3657" xr:uid="{00000000-0005-0000-0000-0000F0120000}"/>
    <cellStyle name="Style 747 6" xfId="1981" xr:uid="{00000000-0005-0000-0000-0000F1120000}"/>
    <cellStyle name="Style 747 6 2" xfId="3891" xr:uid="{00000000-0005-0000-0000-0000F2120000}"/>
    <cellStyle name="Style 747 7" xfId="2225" xr:uid="{00000000-0005-0000-0000-0000F3120000}"/>
    <cellStyle name="Style 747 7 2" xfId="4126" xr:uid="{00000000-0005-0000-0000-0000F4120000}"/>
    <cellStyle name="Style 747 8" xfId="2460" xr:uid="{00000000-0005-0000-0000-0000F5120000}"/>
    <cellStyle name="Style 747 8 2" xfId="4361" xr:uid="{00000000-0005-0000-0000-0000F6120000}"/>
    <cellStyle name="Style 747 9" xfId="2707" xr:uid="{00000000-0005-0000-0000-0000F7120000}"/>
    <cellStyle name="Style 747 9 2" xfId="4596" xr:uid="{00000000-0005-0000-0000-0000F8120000}"/>
    <cellStyle name="Style 808" xfId="255" xr:uid="{00000000-0005-0000-0000-0000F9120000}"/>
    <cellStyle name="Style 808 10" xfId="2942" xr:uid="{00000000-0005-0000-0000-0000FA120000}"/>
    <cellStyle name="Style 808 10 2" xfId="4831" xr:uid="{00000000-0005-0000-0000-0000FB120000}"/>
    <cellStyle name="Style 808 11" xfId="3179" xr:uid="{00000000-0005-0000-0000-0000FC120000}"/>
    <cellStyle name="Style 808 11 2" xfId="5065" xr:uid="{00000000-0005-0000-0000-0000FD120000}"/>
    <cellStyle name="Style 808 12" xfId="5301" xr:uid="{00000000-0005-0000-0000-0000FE120000}"/>
    <cellStyle name="Style 808 12 2" xfId="6761" xr:uid="{00000000-0005-0000-0000-0000FE120000}"/>
    <cellStyle name="Style 808 13" xfId="5700" xr:uid="{00000000-0005-0000-0000-0000FF120000}"/>
    <cellStyle name="Style 808 13 2" xfId="7120" xr:uid="{00000000-0005-0000-0000-0000FF120000}"/>
    <cellStyle name="Style 808 14" xfId="5884" xr:uid="{00000000-0005-0000-0000-000000130000}"/>
    <cellStyle name="Style 808 14 2" xfId="7304" xr:uid="{00000000-0005-0000-0000-000000130000}"/>
    <cellStyle name="Style 808 15" xfId="6375" xr:uid="{00000000-0005-0000-0000-000001130000}"/>
    <cellStyle name="Style 808 15 2" xfId="7653" xr:uid="{00000000-0005-0000-0000-000001130000}"/>
    <cellStyle name="Style 808 2" xfId="489" xr:uid="{00000000-0005-0000-0000-000002130000}"/>
    <cellStyle name="Style 808 2 2" xfId="962" xr:uid="{00000000-0005-0000-0000-000003130000}"/>
    <cellStyle name="Style 808 2 3" xfId="8718" xr:uid="{137C27D1-E6EA-49C0-8DD2-36E60A89AC0D}"/>
    <cellStyle name="Style 808 3" xfId="723" xr:uid="{00000000-0005-0000-0000-000004130000}"/>
    <cellStyle name="Style 808 3 2" xfId="1196" xr:uid="{00000000-0005-0000-0000-000005130000}"/>
    <cellStyle name="Style 808 3 3" xfId="8719" xr:uid="{38879890-8A25-433A-9708-C7A8C9B15333}"/>
    <cellStyle name="Style 808 4" xfId="1436" xr:uid="{00000000-0005-0000-0000-000006130000}"/>
    <cellStyle name="Style 808 4 2" xfId="3420" xr:uid="{00000000-0005-0000-0000-000007130000}"/>
    <cellStyle name="Style 808 5" xfId="1731" xr:uid="{00000000-0005-0000-0000-000008130000}"/>
    <cellStyle name="Style 808 5 2" xfId="3658" xr:uid="{00000000-0005-0000-0000-000009130000}"/>
    <cellStyle name="Style 808 6" xfId="1982" xr:uid="{00000000-0005-0000-0000-00000A130000}"/>
    <cellStyle name="Style 808 6 2" xfId="3892" xr:uid="{00000000-0005-0000-0000-00000B130000}"/>
    <cellStyle name="Style 808 7" xfId="2226" xr:uid="{00000000-0005-0000-0000-00000C130000}"/>
    <cellStyle name="Style 808 7 2" xfId="4127" xr:uid="{00000000-0005-0000-0000-00000D130000}"/>
    <cellStyle name="Style 808 8" xfId="2461" xr:uid="{00000000-0005-0000-0000-00000E130000}"/>
    <cellStyle name="Style 808 8 2" xfId="4362" xr:uid="{00000000-0005-0000-0000-00000F130000}"/>
    <cellStyle name="Style 808 9" xfId="2708" xr:uid="{00000000-0005-0000-0000-000010130000}"/>
    <cellStyle name="Style 808 9 2" xfId="4597" xr:uid="{00000000-0005-0000-0000-000011130000}"/>
    <cellStyle name="Style 868" xfId="256" xr:uid="{00000000-0005-0000-0000-000012130000}"/>
    <cellStyle name="Style 868 10" xfId="2943" xr:uid="{00000000-0005-0000-0000-000013130000}"/>
    <cellStyle name="Style 868 10 2" xfId="4832" xr:uid="{00000000-0005-0000-0000-000014130000}"/>
    <cellStyle name="Style 868 11" xfId="3180" xr:uid="{00000000-0005-0000-0000-000015130000}"/>
    <cellStyle name="Style 868 11 2" xfId="5066" xr:uid="{00000000-0005-0000-0000-000016130000}"/>
    <cellStyle name="Style 868 12" xfId="5302" xr:uid="{00000000-0005-0000-0000-000017130000}"/>
    <cellStyle name="Style 868 12 2" xfId="6762" xr:uid="{00000000-0005-0000-0000-000017130000}"/>
    <cellStyle name="Style 868 13" xfId="5529" xr:uid="{00000000-0005-0000-0000-000018130000}"/>
    <cellStyle name="Style 868 13 2" xfId="6953" xr:uid="{00000000-0005-0000-0000-000018130000}"/>
    <cellStyle name="Style 868 14" xfId="5885" xr:uid="{00000000-0005-0000-0000-000019130000}"/>
    <cellStyle name="Style 868 14 2" xfId="7305" xr:uid="{00000000-0005-0000-0000-000019130000}"/>
    <cellStyle name="Style 868 15" xfId="6376" xr:uid="{00000000-0005-0000-0000-00001A130000}"/>
    <cellStyle name="Style 868 15 2" xfId="7654" xr:uid="{00000000-0005-0000-0000-00001A130000}"/>
    <cellStyle name="Style 868 2" xfId="490" xr:uid="{00000000-0005-0000-0000-00001B130000}"/>
    <cellStyle name="Style 868 2 2" xfId="963" xr:uid="{00000000-0005-0000-0000-00001C130000}"/>
    <cellStyle name="Style 868 2 2 2" xfId="8721" xr:uid="{034025C5-08A8-43F9-92F5-331A58E6CA80}"/>
    <cellStyle name="Style 868 2 3" xfId="8720" xr:uid="{675BBEBF-23E4-4F17-8F77-7661011B581A}"/>
    <cellStyle name="Style 868 3" xfId="724" xr:uid="{00000000-0005-0000-0000-00001D130000}"/>
    <cellStyle name="Style 868 3 2" xfId="1197" xr:uid="{00000000-0005-0000-0000-00001E130000}"/>
    <cellStyle name="Style 868 3 3" xfId="8722" xr:uid="{08773814-0787-49C6-94A1-E6C0A1A2A6C4}"/>
    <cellStyle name="Style 868 4" xfId="1437" xr:uid="{00000000-0005-0000-0000-00001F130000}"/>
    <cellStyle name="Style 868 4 2" xfId="3421" xr:uid="{00000000-0005-0000-0000-000020130000}"/>
    <cellStyle name="Style 868 5" xfId="1732" xr:uid="{00000000-0005-0000-0000-000021130000}"/>
    <cellStyle name="Style 868 5 2" xfId="3659" xr:uid="{00000000-0005-0000-0000-000022130000}"/>
    <cellStyle name="Style 868 6" xfId="1983" xr:uid="{00000000-0005-0000-0000-000023130000}"/>
    <cellStyle name="Style 868 6 2" xfId="3893" xr:uid="{00000000-0005-0000-0000-000024130000}"/>
    <cellStyle name="Style 868 7" xfId="2227" xr:uid="{00000000-0005-0000-0000-000025130000}"/>
    <cellStyle name="Style 868 7 2" xfId="4128" xr:uid="{00000000-0005-0000-0000-000026130000}"/>
    <cellStyle name="Style 868 8" xfId="2462" xr:uid="{00000000-0005-0000-0000-000027130000}"/>
    <cellStyle name="Style 868 8 2" xfId="4363" xr:uid="{00000000-0005-0000-0000-000028130000}"/>
    <cellStyle name="Style 868 9" xfId="2709" xr:uid="{00000000-0005-0000-0000-000029130000}"/>
    <cellStyle name="Style 868 9 2" xfId="4598" xr:uid="{00000000-0005-0000-0000-00002A130000}"/>
    <cellStyle name="Style 886" xfId="257" xr:uid="{00000000-0005-0000-0000-00002B130000}"/>
    <cellStyle name="Style 886 10" xfId="2944" xr:uid="{00000000-0005-0000-0000-00002C130000}"/>
    <cellStyle name="Style 886 10 2" xfId="4833" xr:uid="{00000000-0005-0000-0000-00002D130000}"/>
    <cellStyle name="Style 886 11" xfId="3181" xr:uid="{00000000-0005-0000-0000-00002E130000}"/>
    <cellStyle name="Style 886 11 2" xfId="5067" xr:uid="{00000000-0005-0000-0000-00002F130000}"/>
    <cellStyle name="Style 886 12" xfId="5303" xr:uid="{00000000-0005-0000-0000-000030130000}"/>
    <cellStyle name="Style 886 12 2" xfId="6763" xr:uid="{00000000-0005-0000-0000-000030130000}"/>
    <cellStyle name="Style 886 13" xfId="5701" xr:uid="{00000000-0005-0000-0000-000031130000}"/>
    <cellStyle name="Style 886 13 2" xfId="7121" xr:uid="{00000000-0005-0000-0000-000031130000}"/>
    <cellStyle name="Style 886 14" xfId="5886" xr:uid="{00000000-0005-0000-0000-000032130000}"/>
    <cellStyle name="Style 886 14 2" xfId="7306" xr:uid="{00000000-0005-0000-0000-000032130000}"/>
    <cellStyle name="Style 886 15" xfId="6377" xr:uid="{00000000-0005-0000-0000-000033130000}"/>
    <cellStyle name="Style 886 15 2" xfId="7655" xr:uid="{00000000-0005-0000-0000-000033130000}"/>
    <cellStyle name="Style 886 2" xfId="491" xr:uid="{00000000-0005-0000-0000-000034130000}"/>
    <cellStyle name="Style 886 2 2" xfId="964" xr:uid="{00000000-0005-0000-0000-000035130000}"/>
    <cellStyle name="Style 886 2 3" xfId="8723" xr:uid="{89057DDA-C7B1-4FAD-BC9F-562699A830F7}"/>
    <cellStyle name="Style 886 3" xfId="725" xr:uid="{00000000-0005-0000-0000-000036130000}"/>
    <cellStyle name="Style 886 3 2" xfId="1198" xr:uid="{00000000-0005-0000-0000-000037130000}"/>
    <cellStyle name="Style 886 3 3" xfId="8724" xr:uid="{3E5CEC12-CE18-408C-9FFC-A03AE975A757}"/>
    <cellStyle name="Style 886 4" xfId="1438" xr:uid="{00000000-0005-0000-0000-000038130000}"/>
    <cellStyle name="Style 886 4 2" xfId="3422" xr:uid="{00000000-0005-0000-0000-000039130000}"/>
    <cellStyle name="Style 886 4 3" xfId="8725" xr:uid="{F07F417F-4BFA-464E-84FD-99A01A2798B8}"/>
    <cellStyle name="Style 886 5" xfId="1733" xr:uid="{00000000-0005-0000-0000-00003A130000}"/>
    <cellStyle name="Style 886 5 2" xfId="3660" xr:uid="{00000000-0005-0000-0000-00003B130000}"/>
    <cellStyle name="Style 886 6" xfId="1984" xr:uid="{00000000-0005-0000-0000-00003C130000}"/>
    <cellStyle name="Style 886 6 2" xfId="3894" xr:uid="{00000000-0005-0000-0000-00003D130000}"/>
    <cellStyle name="Style 886 7" xfId="2228" xr:uid="{00000000-0005-0000-0000-00003E130000}"/>
    <cellStyle name="Style 886 7 2" xfId="4129" xr:uid="{00000000-0005-0000-0000-00003F130000}"/>
    <cellStyle name="Style 886 8" xfId="2463" xr:uid="{00000000-0005-0000-0000-000040130000}"/>
    <cellStyle name="Style 886 8 2" xfId="4364" xr:uid="{00000000-0005-0000-0000-000041130000}"/>
    <cellStyle name="Style 886 9" xfId="2710" xr:uid="{00000000-0005-0000-0000-000042130000}"/>
    <cellStyle name="Style 886 9 2" xfId="4599" xr:uid="{00000000-0005-0000-0000-000043130000}"/>
    <cellStyle name="Style 887" xfId="258" xr:uid="{00000000-0005-0000-0000-000044130000}"/>
    <cellStyle name="Style 887 10" xfId="2945" xr:uid="{00000000-0005-0000-0000-000045130000}"/>
    <cellStyle name="Style 887 10 2" xfId="4834" xr:uid="{00000000-0005-0000-0000-000046130000}"/>
    <cellStyle name="Style 887 11" xfId="3182" xr:uid="{00000000-0005-0000-0000-000047130000}"/>
    <cellStyle name="Style 887 11 2" xfId="5068" xr:uid="{00000000-0005-0000-0000-000048130000}"/>
    <cellStyle name="Style 887 12" xfId="5304" xr:uid="{00000000-0005-0000-0000-000049130000}"/>
    <cellStyle name="Style 887 12 2" xfId="6764" xr:uid="{00000000-0005-0000-0000-000049130000}"/>
    <cellStyle name="Style 887 13" xfId="5702" xr:uid="{00000000-0005-0000-0000-00004A130000}"/>
    <cellStyle name="Style 887 13 2" xfId="7122" xr:uid="{00000000-0005-0000-0000-00004A130000}"/>
    <cellStyle name="Style 887 14" xfId="5887" xr:uid="{00000000-0005-0000-0000-00004B130000}"/>
    <cellStyle name="Style 887 14 2" xfId="7307" xr:uid="{00000000-0005-0000-0000-00004B130000}"/>
    <cellStyle name="Style 887 15" xfId="6378" xr:uid="{00000000-0005-0000-0000-00004C130000}"/>
    <cellStyle name="Style 887 15 2" xfId="7656" xr:uid="{00000000-0005-0000-0000-00004C130000}"/>
    <cellStyle name="Style 887 2" xfId="492" xr:uid="{00000000-0005-0000-0000-00004D130000}"/>
    <cellStyle name="Style 887 2 2" xfId="965" xr:uid="{00000000-0005-0000-0000-00004E130000}"/>
    <cellStyle name="Style 887 2 3" xfId="8726" xr:uid="{0BD9F41A-4AED-43A7-B8B2-1BFFFF12EC3C}"/>
    <cellStyle name="Style 887 3" xfId="726" xr:uid="{00000000-0005-0000-0000-00004F130000}"/>
    <cellStyle name="Style 887 3 2" xfId="1199" xr:uid="{00000000-0005-0000-0000-000050130000}"/>
    <cellStyle name="Style 887 3 3" xfId="8727" xr:uid="{25DA0227-6B31-498F-B2A0-6E45142643E9}"/>
    <cellStyle name="Style 887 4" xfId="1439" xr:uid="{00000000-0005-0000-0000-000051130000}"/>
    <cellStyle name="Style 887 4 2" xfId="3423" xr:uid="{00000000-0005-0000-0000-000052130000}"/>
    <cellStyle name="Style 887 4 3" xfId="8728" xr:uid="{F76CF6D2-B8F2-4DF4-94C6-B61AA427FF7F}"/>
    <cellStyle name="Style 887 5" xfId="1734" xr:uid="{00000000-0005-0000-0000-000053130000}"/>
    <cellStyle name="Style 887 5 2" xfId="3661" xr:uid="{00000000-0005-0000-0000-000054130000}"/>
    <cellStyle name="Style 887 6" xfId="1985" xr:uid="{00000000-0005-0000-0000-000055130000}"/>
    <cellStyle name="Style 887 6 2" xfId="3895" xr:uid="{00000000-0005-0000-0000-000056130000}"/>
    <cellStyle name="Style 887 7" xfId="2229" xr:uid="{00000000-0005-0000-0000-000057130000}"/>
    <cellStyle name="Style 887 7 2" xfId="4130" xr:uid="{00000000-0005-0000-0000-000058130000}"/>
    <cellStyle name="Style 887 8" xfId="2464" xr:uid="{00000000-0005-0000-0000-000059130000}"/>
    <cellStyle name="Style 887 8 2" xfId="4365" xr:uid="{00000000-0005-0000-0000-00005A130000}"/>
    <cellStyle name="Style 887 9" xfId="2711" xr:uid="{00000000-0005-0000-0000-00005B130000}"/>
    <cellStyle name="Style 887 9 2" xfId="4600" xr:uid="{00000000-0005-0000-0000-00005C130000}"/>
    <cellStyle name="Style 888" xfId="259" xr:uid="{00000000-0005-0000-0000-00005D130000}"/>
    <cellStyle name="Style 888 10" xfId="2946" xr:uid="{00000000-0005-0000-0000-00005E130000}"/>
    <cellStyle name="Style 888 10 2" xfId="4835" xr:uid="{00000000-0005-0000-0000-00005F130000}"/>
    <cellStyle name="Style 888 11" xfId="3183" xr:uid="{00000000-0005-0000-0000-000060130000}"/>
    <cellStyle name="Style 888 11 2" xfId="5069" xr:uid="{00000000-0005-0000-0000-000061130000}"/>
    <cellStyle name="Style 888 12" xfId="5305" xr:uid="{00000000-0005-0000-0000-000062130000}"/>
    <cellStyle name="Style 888 12 2" xfId="6765" xr:uid="{00000000-0005-0000-0000-000062130000}"/>
    <cellStyle name="Style 888 13" xfId="5703" xr:uid="{00000000-0005-0000-0000-000063130000}"/>
    <cellStyle name="Style 888 13 2" xfId="7123" xr:uid="{00000000-0005-0000-0000-000063130000}"/>
    <cellStyle name="Style 888 14" xfId="5888" xr:uid="{00000000-0005-0000-0000-000064130000}"/>
    <cellStyle name="Style 888 14 2" xfId="7308" xr:uid="{00000000-0005-0000-0000-000064130000}"/>
    <cellStyle name="Style 888 15" xfId="6379" xr:uid="{00000000-0005-0000-0000-000065130000}"/>
    <cellStyle name="Style 888 15 2" xfId="7657" xr:uid="{00000000-0005-0000-0000-000065130000}"/>
    <cellStyle name="Style 888 2" xfId="493" xr:uid="{00000000-0005-0000-0000-000066130000}"/>
    <cellStyle name="Style 888 2 2" xfId="966" xr:uid="{00000000-0005-0000-0000-000067130000}"/>
    <cellStyle name="Style 888 2 3" xfId="8729" xr:uid="{F08F1229-D8AA-4382-893F-ED1DF975F3AA}"/>
    <cellStyle name="Style 888 3" xfId="727" xr:uid="{00000000-0005-0000-0000-000068130000}"/>
    <cellStyle name="Style 888 3 2" xfId="1200" xr:uid="{00000000-0005-0000-0000-000069130000}"/>
    <cellStyle name="Style 888 3 3" xfId="8730" xr:uid="{3AB564A2-4F82-42E7-8A94-924A16CB8AC6}"/>
    <cellStyle name="Style 888 4" xfId="1440" xr:uid="{00000000-0005-0000-0000-00006A130000}"/>
    <cellStyle name="Style 888 4 2" xfId="3424" xr:uid="{00000000-0005-0000-0000-00006B130000}"/>
    <cellStyle name="Style 888 4 3" xfId="8731" xr:uid="{1715CA7F-2092-4807-AAF7-8888818C07B6}"/>
    <cellStyle name="Style 888 5" xfId="1735" xr:uid="{00000000-0005-0000-0000-00006C130000}"/>
    <cellStyle name="Style 888 5 2" xfId="3662" xr:uid="{00000000-0005-0000-0000-00006D130000}"/>
    <cellStyle name="Style 888 6" xfId="1986" xr:uid="{00000000-0005-0000-0000-00006E130000}"/>
    <cellStyle name="Style 888 6 2" xfId="3896" xr:uid="{00000000-0005-0000-0000-00006F130000}"/>
    <cellStyle name="Style 888 7" xfId="2230" xr:uid="{00000000-0005-0000-0000-000070130000}"/>
    <cellStyle name="Style 888 7 2" xfId="4131" xr:uid="{00000000-0005-0000-0000-000071130000}"/>
    <cellStyle name="Style 888 8" xfId="2465" xr:uid="{00000000-0005-0000-0000-000072130000}"/>
    <cellStyle name="Style 888 8 2" xfId="4366" xr:uid="{00000000-0005-0000-0000-000073130000}"/>
    <cellStyle name="Style 888 9" xfId="2712" xr:uid="{00000000-0005-0000-0000-000074130000}"/>
    <cellStyle name="Style 888 9 2" xfId="4601" xr:uid="{00000000-0005-0000-0000-000075130000}"/>
    <cellStyle name="Style 889" xfId="260" xr:uid="{00000000-0005-0000-0000-000076130000}"/>
    <cellStyle name="Style 889 10" xfId="2947" xr:uid="{00000000-0005-0000-0000-000077130000}"/>
    <cellStyle name="Style 889 10 2" xfId="4836" xr:uid="{00000000-0005-0000-0000-000078130000}"/>
    <cellStyle name="Style 889 11" xfId="3184" xr:uid="{00000000-0005-0000-0000-000079130000}"/>
    <cellStyle name="Style 889 11 2" xfId="5070" xr:uid="{00000000-0005-0000-0000-00007A130000}"/>
    <cellStyle name="Style 889 12" xfId="5306" xr:uid="{00000000-0005-0000-0000-00007B130000}"/>
    <cellStyle name="Style 889 12 2" xfId="6766" xr:uid="{00000000-0005-0000-0000-00007B130000}"/>
    <cellStyle name="Style 889 13" xfId="5704" xr:uid="{00000000-0005-0000-0000-00007C130000}"/>
    <cellStyle name="Style 889 13 2" xfId="7124" xr:uid="{00000000-0005-0000-0000-00007C130000}"/>
    <cellStyle name="Style 889 14" xfId="5889" xr:uid="{00000000-0005-0000-0000-00007D130000}"/>
    <cellStyle name="Style 889 14 2" xfId="7309" xr:uid="{00000000-0005-0000-0000-00007D130000}"/>
    <cellStyle name="Style 889 15" xfId="6380" xr:uid="{00000000-0005-0000-0000-00007E130000}"/>
    <cellStyle name="Style 889 15 2" xfId="7658" xr:uid="{00000000-0005-0000-0000-00007E130000}"/>
    <cellStyle name="Style 889 2" xfId="494" xr:uid="{00000000-0005-0000-0000-00007F130000}"/>
    <cellStyle name="Style 889 2 2" xfId="967" xr:uid="{00000000-0005-0000-0000-000080130000}"/>
    <cellStyle name="Style 889 2 3" xfId="8732" xr:uid="{B724B64A-4C8E-4830-B864-1A3E2A6058DB}"/>
    <cellStyle name="Style 889 3" xfId="728" xr:uid="{00000000-0005-0000-0000-000081130000}"/>
    <cellStyle name="Style 889 3 2" xfId="1201" xr:uid="{00000000-0005-0000-0000-000082130000}"/>
    <cellStyle name="Style 889 3 3" xfId="8733" xr:uid="{80FFF2BF-516A-4CB6-9DAC-844F26635031}"/>
    <cellStyle name="Style 889 4" xfId="1441" xr:uid="{00000000-0005-0000-0000-000083130000}"/>
    <cellStyle name="Style 889 4 2" xfId="3425" xr:uid="{00000000-0005-0000-0000-000084130000}"/>
    <cellStyle name="Style 889 4 3" xfId="8734" xr:uid="{8697B409-7636-4D71-A842-4A75EBBD9465}"/>
    <cellStyle name="Style 889 5" xfId="1736" xr:uid="{00000000-0005-0000-0000-000085130000}"/>
    <cellStyle name="Style 889 5 2" xfId="3663" xr:uid="{00000000-0005-0000-0000-000086130000}"/>
    <cellStyle name="Style 889 6" xfId="1987" xr:uid="{00000000-0005-0000-0000-000087130000}"/>
    <cellStyle name="Style 889 6 2" xfId="3897" xr:uid="{00000000-0005-0000-0000-000088130000}"/>
    <cellStyle name="Style 889 7" xfId="2231" xr:uid="{00000000-0005-0000-0000-000089130000}"/>
    <cellStyle name="Style 889 7 2" xfId="4132" xr:uid="{00000000-0005-0000-0000-00008A130000}"/>
    <cellStyle name="Style 889 8" xfId="2466" xr:uid="{00000000-0005-0000-0000-00008B130000}"/>
    <cellStyle name="Style 889 8 2" xfId="4367" xr:uid="{00000000-0005-0000-0000-00008C130000}"/>
    <cellStyle name="Style 889 9" xfId="2713" xr:uid="{00000000-0005-0000-0000-00008D130000}"/>
    <cellStyle name="Style 889 9 2" xfId="4602" xr:uid="{00000000-0005-0000-0000-00008E130000}"/>
    <cellStyle name="Style 890" xfId="261" xr:uid="{00000000-0005-0000-0000-00008F130000}"/>
    <cellStyle name="Style 890 10" xfId="2948" xr:uid="{00000000-0005-0000-0000-000090130000}"/>
    <cellStyle name="Style 890 10 2" xfId="4837" xr:uid="{00000000-0005-0000-0000-000091130000}"/>
    <cellStyle name="Style 890 11" xfId="3185" xr:uid="{00000000-0005-0000-0000-000092130000}"/>
    <cellStyle name="Style 890 11 2" xfId="5071" xr:uid="{00000000-0005-0000-0000-000093130000}"/>
    <cellStyle name="Style 890 12" xfId="5307" xr:uid="{00000000-0005-0000-0000-000094130000}"/>
    <cellStyle name="Style 890 12 2" xfId="6767" xr:uid="{00000000-0005-0000-0000-000094130000}"/>
    <cellStyle name="Style 890 13" xfId="5705" xr:uid="{00000000-0005-0000-0000-000095130000}"/>
    <cellStyle name="Style 890 13 2" xfId="7125" xr:uid="{00000000-0005-0000-0000-000095130000}"/>
    <cellStyle name="Style 890 14" xfId="5890" xr:uid="{00000000-0005-0000-0000-000096130000}"/>
    <cellStyle name="Style 890 14 2" xfId="7310" xr:uid="{00000000-0005-0000-0000-000096130000}"/>
    <cellStyle name="Style 890 15" xfId="6381" xr:uid="{00000000-0005-0000-0000-000097130000}"/>
    <cellStyle name="Style 890 15 2" xfId="7659" xr:uid="{00000000-0005-0000-0000-000097130000}"/>
    <cellStyle name="Style 890 2" xfId="495" xr:uid="{00000000-0005-0000-0000-000098130000}"/>
    <cellStyle name="Style 890 2 2" xfId="968" xr:uid="{00000000-0005-0000-0000-000099130000}"/>
    <cellStyle name="Style 890 2 3" xfId="8735" xr:uid="{A77E63BB-A4CA-4B47-9DDA-2AA2F7B241B2}"/>
    <cellStyle name="Style 890 3" xfId="729" xr:uid="{00000000-0005-0000-0000-00009A130000}"/>
    <cellStyle name="Style 890 3 2" xfId="1202" xr:uid="{00000000-0005-0000-0000-00009B130000}"/>
    <cellStyle name="Style 890 3 3" xfId="8736" xr:uid="{A6E0504D-FAD3-4CFA-9A3B-236F4783CF9E}"/>
    <cellStyle name="Style 890 4" xfId="1442" xr:uid="{00000000-0005-0000-0000-00009C130000}"/>
    <cellStyle name="Style 890 4 2" xfId="3426" xr:uid="{00000000-0005-0000-0000-00009D130000}"/>
    <cellStyle name="Style 890 4 3" xfId="8737" xr:uid="{2111BBB6-87ED-4C10-9426-150C5AD88764}"/>
    <cellStyle name="Style 890 5" xfId="1737" xr:uid="{00000000-0005-0000-0000-00009E130000}"/>
    <cellStyle name="Style 890 5 2" xfId="3664" xr:uid="{00000000-0005-0000-0000-00009F130000}"/>
    <cellStyle name="Style 890 6" xfId="1988" xr:uid="{00000000-0005-0000-0000-0000A0130000}"/>
    <cellStyle name="Style 890 6 2" xfId="3898" xr:uid="{00000000-0005-0000-0000-0000A1130000}"/>
    <cellStyle name="Style 890 7" xfId="2232" xr:uid="{00000000-0005-0000-0000-0000A2130000}"/>
    <cellStyle name="Style 890 7 2" xfId="4133" xr:uid="{00000000-0005-0000-0000-0000A3130000}"/>
    <cellStyle name="Style 890 8" xfId="2467" xr:uid="{00000000-0005-0000-0000-0000A4130000}"/>
    <cellStyle name="Style 890 8 2" xfId="4368" xr:uid="{00000000-0005-0000-0000-0000A5130000}"/>
    <cellStyle name="Style 890 9" xfId="2714" xr:uid="{00000000-0005-0000-0000-0000A6130000}"/>
    <cellStyle name="Style 890 9 2" xfId="4603" xr:uid="{00000000-0005-0000-0000-0000A7130000}"/>
    <cellStyle name="Style 891" xfId="262" xr:uid="{00000000-0005-0000-0000-0000A8130000}"/>
    <cellStyle name="Style 891 10" xfId="2949" xr:uid="{00000000-0005-0000-0000-0000A9130000}"/>
    <cellStyle name="Style 891 10 2" xfId="4838" xr:uid="{00000000-0005-0000-0000-0000AA130000}"/>
    <cellStyle name="Style 891 11" xfId="3186" xr:uid="{00000000-0005-0000-0000-0000AB130000}"/>
    <cellStyle name="Style 891 11 2" xfId="5072" xr:uid="{00000000-0005-0000-0000-0000AC130000}"/>
    <cellStyle name="Style 891 12" xfId="5308" xr:uid="{00000000-0005-0000-0000-0000AD130000}"/>
    <cellStyle name="Style 891 12 2" xfId="6768" xr:uid="{00000000-0005-0000-0000-0000AD130000}"/>
    <cellStyle name="Style 891 13" xfId="5706" xr:uid="{00000000-0005-0000-0000-0000AE130000}"/>
    <cellStyle name="Style 891 13 2" xfId="7126" xr:uid="{00000000-0005-0000-0000-0000AE130000}"/>
    <cellStyle name="Style 891 14" xfId="5891" xr:uid="{00000000-0005-0000-0000-0000AF130000}"/>
    <cellStyle name="Style 891 14 2" xfId="7311" xr:uid="{00000000-0005-0000-0000-0000AF130000}"/>
    <cellStyle name="Style 891 15" xfId="6382" xr:uid="{00000000-0005-0000-0000-0000B0130000}"/>
    <cellStyle name="Style 891 15 2" xfId="7660" xr:uid="{00000000-0005-0000-0000-0000B0130000}"/>
    <cellStyle name="Style 891 2" xfId="496" xr:uid="{00000000-0005-0000-0000-0000B1130000}"/>
    <cellStyle name="Style 891 2 2" xfId="969" xr:uid="{00000000-0005-0000-0000-0000B2130000}"/>
    <cellStyle name="Style 891 2 3" xfId="8738" xr:uid="{6A87E193-6FDB-43CB-8814-C1C6CB569F0C}"/>
    <cellStyle name="Style 891 3" xfId="730" xr:uid="{00000000-0005-0000-0000-0000B3130000}"/>
    <cellStyle name="Style 891 3 2" xfId="1203" xr:uid="{00000000-0005-0000-0000-0000B4130000}"/>
    <cellStyle name="Style 891 3 3" xfId="8739" xr:uid="{6A2E94C7-FEC3-430B-93E7-3D5F82C916E6}"/>
    <cellStyle name="Style 891 4" xfId="1443" xr:uid="{00000000-0005-0000-0000-0000B5130000}"/>
    <cellStyle name="Style 891 4 2" xfId="3427" xr:uid="{00000000-0005-0000-0000-0000B6130000}"/>
    <cellStyle name="Style 891 4 3" xfId="8740" xr:uid="{BA51724B-CD69-452E-BF8D-8D449CF450C5}"/>
    <cellStyle name="Style 891 5" xfId="1738" xr:uid="{00000000-0005-0000-0000-0000B7130000}"/>
    <cellStyle name="Style 891 5 2" xfId="3665" xr:uid="{00000000-0005-0000-0000-0000B8130000}"/>
    <cellStyle name="Style 891 6" xfId="1989" xr:uid="{00000000-0005-0000-0000-0000B9130000}"/>
    <cellStyle name="Style 891 6 2" xfId="3899" xr:uid="{00000000-0005-0000-0000-0000BA130000}"/>
    <cellStyle name="Style 891 7" xfId="2233" xr:uid="{00000000-0005-0000-0000-0000BB130000}"/>
    <cellStyle name="Style 891 7 2" xfId="4134" xr:uid="{00000000-0005-0000-0000-0000BC130000}"/>
    <cellStyle name="Style 891 8" xfId="2468" xr:uid="{00000000-0005-0000-0000-0000BD130000}"/>
    <cellStyle name="Style 891 8 2" xfId="4369" xr:uid="{00000000-0005-0000-0000-0000BE130000}"/>
    <cellStyle name="Style 891 9" xfId="2715" xr:uid="{00000000-0005-0000-0000-0000BF130000}"/>
    <cellStyle name="Style 891 9 2" xfId="4604" xr:uid="{00000000-0005-0000-0000-0000C0130000}"/>
    <cellStyle name="Style 892" xfId="263" xr:uid="{00000000-0005-0000-0000-0000C1130000}"/>
    <cellStyle name="Style 892 10" xfId="2950" xr:uid="{00000000-0005-0000-0000-0000C2130000}"/>
    <cellStyle name="Style 892 10 2" xfId="4839" xr:uid="{00000000-0005-0000-0000-0000C3130000}"/>
    <cellStyle name="Style 892 11" xfId="3187" xr:uid="{00000000-0005-0000-0000-0000C4130000}"/>
    <cellStyle name="Style 892 11 2" xfId="5073" xr:uid="{00000000-0005-0000-0000-0000C5130000}"/>
    <cellStyle name="Style 892 12" xfId="5309" xr:uid="{00000000-0005-0000-0000-0000C6130000}"/>
    <cellStyle name="Style 892 12 2" xfId="6769" xr:uid="{00000000-0005-0000-0000-0000C6130000}"/>
    <cellStyle name="Style 892 13" xfId="5707" xr:uid="{00000000-0005-0000-0000-0000C7130000}"/>
    <cellStyle name="Style 892 13 2" xfId="7127" xr:uid="{00000000-0005-0000-0000-0000C7130000}"/>
    <cellStyle name="Style 892 14" xfId="5892" xr:uid="{00000000-0005-0000-0000-0000C8130000}"/>
    <cellStyle name="Style 892 14 2" xfId="7312" xr:uid="{00000000-0005-0000-0000-0000C8130000}"/>
    <cellStyle name="Style 892 15" xfId="6383" xr:uid="{00000000-0005-0000-0000-0000C9130000}"/>
    <cellStyle name="Style 892 15 2" xfId="7661" xr:uid="{00000000-0005-0000-0000-0000C9130000}"/>
    <cellStyle name="Style 892 2" xfId="497" xr:uid="{00000000-0005-0000-0000-0000CA130000}"/>
    <cellStyle name="Style 892 2 2" xfId="970" xr:uid="{00000000-0005-0000-0000-0000CB130000}"/>
    <cellStyle name="Style 892 2 3" xfId="8741" xr:uid="{ED52634A-FAE5-40DE-90A3-996CC79634AB}"/>
    <cellStyle name="Style 892 3" xfId="731" xr:uid="{00000000-0005-0000-0000-0000CC130000}"/>
    <cellStyle name="Style 892 3 2" xfId="1204" xr:uid="{00000000-0005-0000-0000-0000CD130000}"/>
    <cellStyle name="Style 892 3 3" xfId="8742" xr:uid="{0280C8D0-D3C1-4634-B2B8-082ED9F35E31}"/>
    <cellStyle name="Style 892 4" xfId="1444" xr:uid="{00000000-0005-0000-0000-0000CE130000}"/>
    <cellStyle name="Style 892 4 2" xfId="3428" xr:uid="{00000000-0005-0000-0000-0000CF130000}"/>
    <cellStyle name="Style 892 4 3" xfId="8743" xr:uid="{A015630A-9E56-409F-980E-F86B3884EEDA}"/>
    <cellStyle name="Style 892 5" xfId="1739" xr:uid="{00000000-0005-0000-0000-0000D0130000}"/>
    <cellStyle name="Style 892 5 2" xfId="3666" xr:uid="{00000000-0005-0000-0000-0000D1130000}"/>
    <cellStyle name="Style 892 6" xfId="1990" xr:uid="{00000000-0005-0000-0000-0000D2130000}"/>
    <cellStyle name="Style 892 6 2" xfId="3900" xr:uid="{00000000-0005-0000-0000-0000D3130000}"/>
    <cellStyle name="Style 892 7" xfId="2234" xr:uid="{00000000-0005-0000-0000-0000D4130000}"/>
    <cellStyle name="Style 892 7 2" xfId="4135" xr:uid="{00000000-0005-0000-0000-0000D5130000}"/>
    <cellStyle name="Style 892 8" xfId="2469" xr:uid="{00000000-0005-0000-0000-0000D6130000}"/>
    <cellStyle name="Style 892 8 2" xfId="4370" xr:uid="{00000000-0005-0000-0000-0000D7130000}"/>
    <cellStyle name="Style 892 9" xfId="2716" xr:uid="{00000000-0005-0000-0000-0000D8130000}"/>
    <cellStyle name="Style 892 9 2" xfId="4605" xr:uid="{00000000-0005-0000-0000-0000D9130000}"/>
    <cellStyle name="Style 893" xfId="264" xr:uid="{00000000-0005-0000-0000-0000DA130000}"/>
    <cellStyle name="Style 893 10" xfId="2951" xr:uid="{00000000-0005-0000-0000-0000DB130000}"/>
    <cellStyle name="Style 893 10 2" xfId="4840" xr:uid="{00000000-0005-0000-0000-0000DC130000}"/>
    <cellStyle name="Style 893 11" xfId="3188" xr:uid="{00000000-0005-0000-0000-0000DD130000}"/>
    <cellStyle name="Style 893 11 2" xfId="5074" xr:uid="{00000000-0005-0000-0000-0000DE130000}"/>
    <cellStyle name="Style 893 12" xfId="5310" xr:uid="{00000000-0005-0000-0000-0000DF130000}"/>
    <cellStyle name="Style 893 12 2" xfId="6770" xr:uid="{00000000-0005-0000-0000-0000DF130000}"/>
    <cellStyle name="Style 893 13" xfId="5708" xr:uid="{00000000-0005-0000-0000-0000E0130000}"/>
    <cellStyle name="Style 893 13 2" xfId="7128" xr:uid="{00000000-0005-0000-0000-0000E0130000}"/>
    <cellStyle name="Style 893 14" xfId="5893" xr:uid="{00000000-0005-0000-0000-0000E1130000}"/>
    <cellStyle name="Style 893 14 2" xfId="7313" xr:uid="{00000000-0005-0000-0000-0000E1130000}"/>
    <cellStyle name="Style 893 15" xfId="6384" xr:uid="{00000000-0005-0000-0000-0000E2130000}"/>
    <cellStyle name="Style 893 15 2" xfId="7662" xr:uid="{00000000-0005-0000-0000-0000E2130000}"/>
    <cellStyle name="Style 893 2" xfId="498" xr:uid="{00000000-0005-0000-0000-0000E3130000}"/>
    <cellStyle name="Style 893 2 2" xfId="971" xr:uid="{00000000-0005-0000-0000-0000E4130000}"/>
    <cellStyle name="Style 893 2 3" xfId="8744" xr:uid="{E0AA19E4-3046-406F-8430-B8629C67F0E7}"/>
    <cellStyle name="Style 893 3" xfId="732" xr:uid="{00000000-0005-0000-0000-0000E5130000}"/>
    <cellStyle name="Style 893 3 2" xfId="1205" xr:uid="{00000000-0005-0000-0000-0000E6130000}"/>
    <cellStyle name="Style 893 3 3" xfId="8745" xr:uid="{1D3136BA-C1F2-4652-8D71-EE70FCCEA34A}"/>
    <cellStyle name="Style 893 4" xfId="1445" xr:uid="{00000000-0005-0000-0000-0000E7130000}"/>
    <cellStyle name="Style 893 4 2" xfId="3429" xr:uid="{00000000-0005-0000-0000-0000E8130000}"/>
    <cellStyle name="Style 893 4 3" xfId="8746" xr:uid="{00897203-24C2-4512-A52F-2E3D15A39A77}"/>
    <cellStyle name="Style 893 5" xfId="1740" xr:uid="{00000000-0005-0000-0000-0000E9130000}"/>
    <cellStyle name="Style 893 5 2" xfId="3667" xr:uid="{00000000-0005-0000-0000-0000EA130000}"/>
    <cellStyle name="Style 893 6" xfId="1991" xr:uid="{00000000-0005-0000-0000-0000EB130000}"/>
    <cellStyle name="Style 893 6 2" xfId="3901" xr:uid="{00000000-0005-0000-0000-0000EC130000}"/>
    <cellStyle name="Style 893 7" xfId="2235" xr:uid="{00000000-0005-0000-0000-0000ED130000}"/>
    <cellStyle name="Style 893 7 2" xfId="4136" xr:uid="{00000000-0005-0000-0000-0000EE130000}"/>
    <cellStyle name="Style 893 8" xfId="2470" xr:uid="{00000000-0005-0000-0000-0000EF130000}"/>
    <cellStyle name="Style 893 8 2" xfId="4371" xr:uid="{00000000-0005-0000-0000-0000F0130000}"/>
    <cellStyle name="Style 893 9" xfId="2717" xr:uid="{00000000-0005-0000-0000-0000F1130000}"/>
    <cellStyle name="Style 893 9 2" xfId="4606" xr:uid="{00000000-0005-0000-0000-0000F2130000}"/>
    <cellStyle name="Style 894" xfId="265" xr:uid="{00000000-0005-0000-0000-0000F3130000}"/>
    <cellStyle name="Style 894 10" xfId="2952" xr:uid="{00000000-0005-0000-0000-0000F4130000}"/>
    <cellStyle name="Style 894 10 2" xfId="4841" xr:uid="{00000000-0005-0000-0000-0000F5130000}"/>
    <cellStyle name="Style 894 11" xfId="3189" xr:uid="{00000000-0005-0000-0000-0000F6130000}"/>
    <cellStyle name="Style 894 11 2" xfId="5075" xr:uid="{00000000-0005-0000-0000-0000F7130000}"/>
    <cellStyle name="Style 894 12" xfId="5311" xr:uid="{00000000-0005-0000-0000-0000F8130000}"/>
    <cellStyle name="Style 894 12 2" xfId="6771" xr:uid="{00000000-0005-0000-0000-0000F8130000}"/>
    <cellStyle name="Style 894 13" xfId="5709" xr:uid="{00000000-0005-0000-0000-0000F9130000}"/>
    <cellStyle name="Style 894 13 2" xfId="7129" xr:uid="{00000000-0005-0000-0000-0000F9130000}"/>
    <cellStyle name="Style 894 14" xfId="5894" xr:uid="{00000000-0005-0000-0000-0000FA130000}"/>
    <cellStyle name="Style 894 14 2" xfId="7314" xr:uid="{00000000-0005-0000-0000-0000FA130000}"/>
    <cellStyle name="Style 894 15" xfId="6385" xr:uid="{00000000-0005-0000-0000-0000FB130000}"/>
    <cellStyle name="Style 894 15 2" xfId="7663" xr:uid="{00000000-0005-0000-0000-0000FB130000}"/>
    <cellStyle name="Style 894 2" xfId="499" xr:uid="{00000000-0005-0000-0000-0000FC130000}"/>
    <cellStyle name="Style 894 2 2" xfId="972" xr:uid="{00000000-0005-0000-0000-0000FD130000}"/>
    <cellStyle name="Style 894 2 3" xfId="8747" xr:uid="{D1E9F3DB-1B5A-429A-8CB9-3F485C69E0A3}"/>
    <cellStyle name="Style 894 3" xfId="733" xr:uid="{00000000-0005-0000-0000-0000FE130000}"/>
    <cellStyle name="Style 894 3 2" xfId="1206" xr:uid="{00000000-0005-0000-0000-0000FF130000}"/>
    <cellStyle name="Style 894 3 3" xfId="8748" xr:uid="{EBCC866A-F5DF-4ED4-9A38-2AC1834FEB25}"/>
    <cellStyle name="Style 894 4" xfId="1446" xr:uid="{00000000-0005-0000-0000-000000140000}"/>
    <cellStyle name="Style 894 4 2" xfId="3430" xr:uid="{00000000-0005-0000-0000-000001140000}"/>
    <cellStyle name="Style 894 4 3" xfId="8749" xr:uid="{86AFF32D-09E8-4ED4-B762-D5AD4D7E35CB}"/>
    <cellStyle name="Style 894 5" xfId="1741" xr:uid="{00000000-0005-0000-0000-000002140000}"/>
    <cellStyle name="Style 894 5 2" xfId="3668" xr:uid="{00000000-0005-0000-0000-000003140000}"/>
    <cellStyle name="Style 894 6" xfId="1992" xr:uid="{00000000-0005-0000-0000-000004140000}"/>
    <cellStyle name="Style 894 6 2" xfId="3902" xr:uid="{00000000-0005-0000-0000-000005140000}"/>
    <cellStyle name="Style 894 7" xfId="2236" xr:uid="{00000000-0005-0000-0000-000006140000}"/>
    <cellStyle name="Style 894 7 2" xfId="4137" xr:uid="{00000000-0005-0000-0000-000007140000}"/>
    <cellStyle name="Style 894 8" xfId="2471" xr:uid="{00000000-0005-0000-0000-000008140000}"/>
    <cellStyle name="Style 894 8 2" xfId="4372" xr:uid="{00000000-0005-0000-0000-000009140000}"/>
    <cellStyle name="Style 894 9" xfId="2718" xr:uid="{00000000-0005-0000-0000-00000A140000}"/>
    <cellStyle name="Style 894 9 2" xfId="4607" xr:uid="{00000000-0005-0000-0000-00000B140000}"/>
    <cellStyle name="Style 902" xfId="266" xr:uid="{00000000-0005-0000-0000-00000C140000}"/>
    <cellStyle name="Style 902 10" xfId="2953" xr:uid="{00000000-0005-0000-0000-00000D140000}"/>
    <cellStyle name="Style 902 10 2" xfId="4842" xr:uid="{00000000-0005-0000-0000-00000E140000}"/>
    <cellStyle name="Style 902 11" xfId="3190" xr:uid="{00000000-0005-0000-0000-00000F140000}"/>
    <cellStyle name="Style 902 11 2" xfId="5076" xr:uid="{00000000-0005-0000-0000-000010140000}"/>
    <cellStyle name="Style 902 12" xfId="5312" xr:uid="{00000000-0005-0000-0000-000011140000}"/>
    <cellStyle name="Style 902 12 2" xfId="6772" xr:uid="{00000000-0005-0000-0000-000011140000}"/>
    <cellStyle name="Style 902 13" xfId="5530" xr:uid="{00000000-0005-0000-0000-000012140000}"/>
    <cellStyle name="Style 902 13 2" xfId="6954" xr:uid="{00000000-0005-0000-0000-000012140000}"/>
    <cellStyle name="Style 902 14" xfId="5895" xr:uid="{00000000-0005-0000-0000-000013140000}"/>
    <cellStyle name="Style 902 14 2" xfId="7315" xr:uid="{00000000-0005-0000-0000-000013140000}"/>
    <cellStyle name="Style 902 15" xfId="6386" xr:uid="{00000000-0005-0000-0000-000014140000}"/>
    <cellStyle name="Style 902 15 2" xfId="7664" xr:uid="{00000000-0005-0000-0000-000014140000}"/>
    <cellStyle name="Style 902 2" xfId="500" xr:uid="{00000000-0005-0000-0000-000015140000}"/>
    <cellStyle name="Style 902 2 2" xfId="973" xr:uid="{00000000-0005-0000-0000-000016140000}"/>
    <cellStyle name="Style 902 2 2 2" xfId="8751" xr:uid="{3837C0E2-E0A9-41C8-BB3D-4A0A0EA06997}"/>
    <cellStyle name="Style 902 2 3" xfId="8750" xr:uid="{A90A3A3D-CB0C-4593-82FD-0A445963FB73}"/>
    <cellStyle name="Style 902 3" xfId="734" xr:uid="{00000000-0005-0000-0000-000017140000}"/>
    <cellStyle name="Style 902 3 2" xfId="1207" xr:uid="{00000000-0005-0000-0000-000018140000}"/>
    <cellStyle name="Style 902 3 3" xfId="8752" xr:uid="{EFDE3B74-D906-4163-A2F4-0773FB43FDD1}"/>
    <cellStyle name="Style 902 4" xfId="1447" xr:uid="{00000000-0005-0000-0000-000019140000}"/>
    <cellStyle name="Style 902 4 2" xfId="3431" xr:uid="{00000000-0005-0000-0000-00001A140000}"/>
    <cellStyle name="Style 902 4 3" xfId="8753" xr:uid="{9E32F546-9E00-425C-9EB7-CBE8DF44F109}"/>
    <cellStyle name="Style 902 5" xfId="1742" xr:uid="{00000000-0005-0000-0000-00001B140000}"/>
    <cellStyle name="Style 902 5 2" xfId="3669" xr:uid="{00000000-0005-0000-0000-00001C140000}"/>
    <cellStyle name="Style 902 6" xfId="1993" xr:uid="{00000000-0005-0000-0000-00001D140000}"/>
    <cellStyle name="Style 902 6 2" xfId="3903" xr:uid="{00000000-0005-0000-0000-00001E140000}"/>
    <cellStyle name="Style 902 7" xfId="2237" xr:uid="{00000000-0005-0000-0000-00001F140000}"/>
    <cellStyle name="Style 902 7 2" xfId="4138" xr:uid="{00000000-0005-0000-0000-000020140000}"/>
    <cellStyle name="Style 902 8" xfId="2472" xr:uid="{00000000-0005-0000-0000-000021140000}"/>
    <cellStyle name="Style 902 8 2" xfId="4373" xr:uid="{00000000-0005-0000-0000-000022140000}"/>
    <cellStyle name="Style 902 9" xfId="2719" xr:uid="{00000000-0005-0000-0000-000023140000}"/>
    <cellStyle name="Style 902 9 2" xfId="4608" xr:uid="{00000000-0005-0000-0000-000024140000}"/>
    <cellStyle name="Style 903" xfId="267" xr:uid="{00000000-0005-0000-0000-000025140000}"/>
    <cellStyle name="Style 903 10" xfId="2954" xr:uid="{00000000-0005-0000-0000-000026140000}"/>
    <cellStyle name="Style 903 10 2" xfId="4843" xr:uid="{00000000-0005-0000-0000-000027140000}"/>
    <cellStyle name="Style 903 11" xfId="3191" xr:uid="{00000000-0005-0000-0000-000028140000}"/>
    <cellStyle name="Style 903 11 2" xfId="5077" xr:uid="{00000000-0005-0000-0000-000029140000}"/>
    <cellStyle name="Style 903 12" xfId="5313" xr:uid="{00000000-0005-0000-0000-00002A140000}"/>
    <cellStyle name="Style 903 12 2" xfId="6773" xr:uid="{00000000-0005-0000-0000-00002A140000}"/>
    <cellStyle name="Style 903 13" xfId="5531" xr:uid="{00000000-0005-0000-0000-00002B140000}"/>
    <cellStyle name="Style 903 13 2" xfId="6955" xr:uid="{00000000-0005-0000-0000-00002B140000}"/>
    <cellStyle name="Style 903 14" xfId="5896" xr:uid="{00000000-0005-0000-0000-00002C140000}"/>
    <cellStyle name="Style 903 14 2" xfId="7316" xr:uid="{00000000-0005-0000-0000-00002C140000}"/>
    <cellStyle name="Style 903 15" xfId="6387" xr:uid="{00000000-0005-0000-0000-00002D140000}"/>
    <cellStyle name="Style 903 15 2" xfId="7665" xr:uid="{00000000-0005-0000-0000-00002D140000}"/>
    <cellStyle name="Style 903 2" xfId="501" xr:uid="{00000000-0005-0000-0000-00002E140000}"/>
    <cellStyle name="Style 903 2 2" xfId="974" xr:uid="{00000000-0005-0000-0000-00002F140000}"/>
    <cellStyle name="Style 903 2 2 2" xfId="8755" xr:uid="{D1A7DE0B-4984-46B4-BA4E-5B2B0CF62316}"/>
    <cellStyle name="Style 903 2 3" xfId="8754" xr:uid="{A85DC967-21C8-445B-AD2B-7851F4687AAB}"/>
    <cellStyle name="Style 903 3" xfId="735" xr:uid="{00000000-0005-0000-0000-000030140000}"/>
    <cellStyle name="Style 903 3 2" xfId="1208" xr:uid="{00000000-0005-0000-0000-000031140000}"/>
    <cellStyle name="Style 903 3 3" xfId="8756" xr:uid="{514BE0C2-2529-4870-B3A2-7A2797F512C4}"/>
    <cellStyle name="Style 903 4" xfId="1448" xr:uid="{00000000-0005-0000-0000-000032140000}"/>
    <cellStyle name="Style 903 4 2" xfId="3432" xr:uid="{00000000-0005-0000-0000-000033140000}"/>
    <cellStyle name="Style 903 4 3" xfId="8757" xr:uid="{2848F7C4-6E54-4906-9F86-B1FE8DE91589}"/>
    <cellStyle name="Style 903 5" xfId="1743" xr:uid="{00000000-0005-0000-0000-000034140000}"/>
    <cellStyle name="Style 903 5 2" xfId="3670" xr:uid="{00000000-0005-0000-0000-000035140000}"/>
    <cellStyle name="Style 903 6" xfId="1994" xr:uid="{00000000-0005-0000-0000-000036140000}"/>
    <cellStyle name="Style 903 6 2" xfId="3904" xr:uid="{00000000-0005-0000-0000-000037140000}"/>
    <cellStyle name="Style 903 7" xfId="2238" xr:uid="{00000000-0005-0000-0000-000038140000}"/>
    <cellStyle name="Style 903 7 2" xfId="4139" xr:uid="{00000000-0005-0000-0000-000039140000}"/>
    <cellStyle name="Style 903 8" xfId="2473" xr:uid="{00000000-0005-0000-0000-00003A140000}"/>
    <cellStyle name="Style 903 8 2" xfId="4374" xr:uid="{00000000-0005-0000-0000-00003B140000}"/>
    <cellStyle name="Style 903 9" xfId="2720" xr:uid="{00000000-0005-0000-0000-00003C140000}"/>
    <cellStyle name="Style 903 9 2" xfId="4609" xr:uid="{00000000-0005-0000-0000-00003D140000}"/>
    <cellStyle name="Style 904" xfId="268" xr:uid="{00000000-0005-0000-0000-00003E140000}"/>
    <cellStyle name="Style 904 10" xfId="2955" xr:uid="{00000000-0005-0000-0000-00003F140000}"/>
    <cellStyle name="Style 904 10 2" xfId="4844" xr:uid="{00000000-0005-0000-0000-000040140000}"/>
    <cellStyle name="Style 904 11" xfId="3192" xr:uid="{00000000-0005-0000-0000-000041140000}"/>
    <cellStyle name="Style 904 11 2" xfId="5078" xr:uid="{00000000-0005-0000-0000-000042140000}"/>
    <cellStyle name="Style 904 12" xfId="5314" xr:uid="{00000000-0005-0000-0000-000043140000}"/>
    <cellStyle name="Style 904 12 2" xfId="6774" xr:uid="{00000000-0005-0000-0000-000043140000}"/>
    <cellStyle name="Style 904 13" xfId="5532" xr:uid="{00000000-0005-0000-0000-000044140000}"/>
    <cellStyle name="Style 904 13 2" xfId="6956" xr:uid="{00000000-0005-0000-0000-000044140000}"/>
    <cellStyle name="Style 904 14" xfId="5897" xr:uid="{00000000-0005-0000-0000-000045140000}"/>
    <cellStyle name="Style 904 14 2" xfId="7317" xr:uid="{00000000-0005-0000-0000-000045140000}"/>
    <cellStyle name="Style 904 15" xfId="6388" xr:uid="{00000000-0005-0000-0000-000046140000}"/>
    <cellStyle name="Style 904 15 2" xfId="7666" xr:uid="{00000000-0005-0000-0000-000046140000}"/>
    <cellStyle name="Style 904 2" xfId="502" xr:uid="{00000000-0005-0000-0000-000047140000}"/>
    <cellStyle name="Style 904 2 2" xfId="975" xr:uid="{00000000-0005-0000-0000-000048140000}"/>
    <cellStyle name="Style 904 2 2 2" xfId="8759" xr:uid="{0B3F1D4C-9E04-4EE4-81B4-FD77EDF5C4F4}"/>
    <cellStyle name="Style 904 2 3" xfId="8758" xr:uid="{1AEDF0FE-6722-43BC-868B-6B8FFFB2E806}"/>
    <cellStyle name="Style 904 3" xfId="736" xr:uid="{00000000-0005-0000-0000-000049140000}"/>
    <cellStyle name="Style 904 3 2" xfId="1209" xr:uid="{00000000-0005-0000-0000-00004A140000}"/>
    <cellStyle name="Style 904 3 3" xfId="8760" xr:uid="{E5AD4C2D-0462-4486-823F-677AFD561C51}"/>
    <cellStyle name="Style 904 4" xfId="1449" xr:uid="{00000000-0005-0000-0000-00004B140000}"/>
    <cellStyle name="Style 904 4 2" xfId="3433" xr:uid="{00000000-0005-0000-0000-00004C140000}"/>
    <cellStyle name="Style 904 4 3" xfId="8761" xr:uid="{09A11856-FA57-41F4-8AFD-2FFD4F9E7639}"/>
    <cellStyle name="Style 904 5" xfId="1744" xr:uid="{00000000-0005-0000-0000-00004D140000}"/>
    <cellStyle name="Style 904 5 2" xfId="3671" xr:uid="{00000000-0005-0000-0000-00004E140000}"/>
    <cellStyle name="Style 904 6" xfId="1995" xr:uid="{00000000-0005-0000-0000-00004F140000}"/>
    <cellStyle name="Style 904 6 2" xfId="3905" xr:uid="{00000000-0005-0000-0000-000050140000}"/>
    <cellStyle name="Style 904 7" xfId="2239" xr:uid="{00000000-0005-0000-0000-000051140000}"/>
    <cellStyle name="Style 904 7 2" xfId="4140" xr:uid="{00000000-0005-0000-0000-000052140000}"/>
    <cellStyle name="Style 904 8" xfId="2474" xr:uid="{00000000-0005-0000-0000-000053140000}"/>
    <cellStyle name="Style 904 8 2" xfId="4375" xr:uid="{00000000-0005-0000-0000-000054140000}"/>
    <cellStyle name="Style 904 9" xfId="2721" xr:uid="{00000000-0005-0000-0000-000055140000}"/>
    <cellStyle name="Style 904 9 2" xfId="4610" xr:uid="{00000000-0005-0000-0000-000056140000}"/>
    <cellStyle name="Style 905" xfId="269" xr:uid="{00000000-0005-0000-0000-000057140000}"/>
    <cellStyle name="Style 905 10" xfId="2956" xr:uid="{00000000-0005-0000-0000-000058140000}"/>
    <cellStyle name="Style 905 10 2" xfId="4845" xr:uid="{00000000-0005-0000-0000-000059140000}"/>
    <cellStyle name="Style 905 11" xfId="3193" xr:uid="{00000000-0005-0000-0000-00005A140000}"/>
    <cellStyle name="Style 905 11 2" xfId="5079" xr:uid="{00000000-0005-0000-0000-00005B140000}"/>
    <cellStyle name="Style 905 12" xfId="5315" xr:uid="{00000000-0005-0000-0000-00005C140000}"/>
    <cellStyle name="Style 905 12 2" xfId="6775" xr:uid="{00000000-0005-0000-0000-00005C140000}"/>
    <cellStyle name="Style 905 13" xfId="5533" xr:uid="{00000000-0005-0000-0000-00005D140000}"/>
    <cellStyle name="Style 905 13 2" xfId="6957" xr:uid="{00000000-0005-0000-0000-00005D140000}"/>
    <cellStyle name="Style 905 14" xfId="5898" xr:uid="{00000000-0005-0000-0000-00005E140000}"/>
    <cellStyle name="Style 905 14 2" xfId="7318" xr:uid="{00000000-0005-0000-0000-00005E140000}"/>
    <cellStyle name="Style 905 15" xfId="6389" xr:uid="{00000000-0005-0000-0000-00005F140000}"/>
    <cellStyle name="Style 905 15 2" xfId="7667" xr:uid="{00000000-0005-0000-0000-00005F140000}"/>
    <cellStyle name="Style 905 2" xfId="503" xr:uid="{00000000-0005-0000-0000-000060140000}"/>
    <cellStyle name="Style 905 2 2" xfId="976" xr:uid="{00000000-0005-0000-0000-000061140000}"/>
    <cellStyle name="Style 905 2 2 2" xfId="8763" xr:uid="{FC97297C-D555-46F3-80EB-4CB3D001EDBA}"/>
    <cellStyle name="Style 905 2 3" xfId="8762" xr:uid="{911DCF01-52DA-4E05-A37A-12979FDF63AB}"/>
    <cellStyle name="Style 905 3" xfId="737" xr:uid="{00000000-0005-0000-0000-000062140000}"/>
    <cellStyle name="Style 905 3 2" xfId="1210" xr:uid="{00000000-0005-0000-0000-000063140000}"/>
    <cellStyle name="Style 905 3 3" xfId="8764" xr:uid="{FE75873E-7990-471E-AF55-8E9142EEF918}"/>
    <cellStyle name="Style 905 4" xfId="1450" xr:uid="{00000000-0005-0000-0000-000064140000}"/>
    <cellStyle name="Style 905 4 2" xfId="3434" xr:uid="{00000000-0005-0000-0000-000065140000}"/>
    <cellStyle name="Style 905 4 3" xfId="8765" xr:uid="{DC776D07-7D6E-4237-A020-FA9D1E037EC8}"/>
    <cellStyle name="Style 905 5" xfId="1745" xr:uid="{00000000-0005-0000-0000-000066140000}"/>
    <cellStyle name="Style 905 5 2" xfId="3672" xr:uid="{00000000-0005-0000-0000-000067140000}"/>
    <cellStyle name="Style 905 6" xfId="1996" xr:uid="{00000000-0005-0000-0000-000068140000}"/>
    <cellStyle name="Style 905 6 2" xfId="3906" xr:uid="{00000000-0005-0000-0000-000069140000}"/>
    <cellStyle name="Style 905 7" xfId="2240" xr:uid="{00000000-0005-0000-0000-00006A140000}"/>
    <cellStyle name="Style 905 7 2" xfId="4141" xr:uid="{00000000-0005-0000-0000-00006B140000}"/>
    <cellStyle name="Style 905 8" xfId="2475" xr:uid="{00000000-0005-0000-0000-00006C140000}"/>
    <cellStyle name="Style 905 8 2" xfId="4376" xr:uid="{00000000-0005-0000-0000-00006D140000}"/>
    <cellStyle name="Style 905 9" xfId="2722" xr:uid="{00000000-0005-0000-0000-00006E140000}"/>
    <cellStyle name="Style 905 9 2" xfId="4611" xr:uid="{00000000-0005-0000-0000-00006F140000}"/>
    <cellStyle name="Style 910" xfId="270" xr:uid="{00000000-0005-0000-0000-000070140000}"/>
    <cellStyle name="Style 910 10" xfId="2957" xr:uid="{00000000-0005-0000-0000-000071140000}"/>
    <cellStyle name="Style 910 10 2" xfId="4846" xr:uid="{00000000-0005-0000-0000-000072140000}"/>
    <cellStyle name="Style 910 11" xfId="3194" xr:uid="{00000000-0005-0000-0000-000073140000}"/>
    <cellStyle name="Style 910 11 2" xfId="5080" xr:uid="{00000000-0005-0000-0000-000074140000}"/>
    <cellStyle name="Style 910 12" xfId="5316" xr:uid="{00000000-0005-0000-0000-000075140000}"/>
    <cellStyle name="Style 910 12 2" xfId="6776" xr:uid="{00000000-0005-0000-0000-000075140000}"/>
    <cellStyle name="Style 910 13" xfId="5534" xr:uid="{00000000-0005-0000-0000-000076140000}"/>
    <cellStyle name="Style 910 13 2" xfId="6958" xr:uid="{00000000-0005-0000-0000-000076140000}"/>
    <cellStyle name="Style 910 14" xfId="5899" xr:uid="{00000000-0005-0000-0000-000077140000}"/>
    <cellStyle name="Style 910 14 2" xfId="7319" xr:uid="{00000000-0005-0000-0000-000077140000}"/>
    <cellStyle name="Style 910 15" xfId="6390" xr:uid="{00000000-0005-0000-0000-000078140000}"/>
    <cellStyle name="Style 910 15 2" xfId="7668" xr:uid="{00000000-0005-0000-0000-000078140000}"/>
    <cellStyle name="Style 910 2" xfId="504" xr:uid="{00000000-0005-0000-0000-000079140000}"/>
    <cellStyle name="Style 910 2 2" xfId="977" xr:uid="{00000000-0005-0000-0000-00007A140000}"/>
    <cellStyle name="Style 910 2 2 2" xfId="8767" xr:uid="{BA515201-3050-4CD0-B93E-60DB8BAFC5E6}"/>
    <cellStyle name="Style 910 2 3" xfId="8766" xr:uid="{9226AA19-58D2-4BDC-A93B-219867D56316}"/>
    <cellStyle name="Style 910 3" xfId="738" xr:uid="{00000000-0005-0000-0000-00007B140000}"/>
    <cellStyle name="Style 910 3 2" xfId="1211" xr:uid="{00000000-0005-0000-0000-00007C140000}"/>
    <cellStyle name="Style 910 3 3" xfId="8768" xr:uid="{82FCC524-C3C8-42A5-B6A6-071E144CC848}"/>
    <cellStyle name="Style 910 4" xfId="1451" xr:uid="{00000000-0005-0000-0000-00007D140000}"/>
    <cellStyle name="Style 910 4 2" xfId="3435" xr:uid="{00000000-0005-0000-0000-00007E140000}"/>
    <cellStyle name="Style 910 4 3" xfId="8769" xr:uid="{37A660E9-076B-4F6F-A05A-01D3F004A015}"/>
    <cellStyle name="Style 910 5" xfId="1746" xr:uid="{00000000-0005-0000-0000-00007F140000}"/>
    <cellStyle name="Style 910 5 2" xfId="3673" xr:uid="{00000000-0005-0000-0000-000080140000}"/>
    <cellStyle name="Style 910 6" xfId="1997" xr:uid="{00000000-0005-0000-0000-000081140000}"/>
    <cellStyle name="Style 910 6 2" xfId="3907" xr:uid="{00000000-0005-0000-0000-000082140000}"/>
    <cellStyle name="Style 910 7" xfId="2241" xr:uid="{00000000-0005-0000-0000-000083140000}"/>
    <cellStyle name="Style 910 7 2" xfId="4142" xr:uid="{00000000-0005-0000-0000-000084140000}"/>
    <cellStyle name="Style 910 8" xfId="2476" xr:uid="{00000000-0005-0000-0000-000085140000}"/>
    <cellStyle name="Style 910 8 2" xfId="4377" xr:uid="{00000000-0005-0000-0000-000086140000}"/>
    <cellStyle name="Style 910 9" xfId="2723" xr:uid="{00000000-0005-0000-0000-000087140000}"/>
    <cellStyle name="Style 910 9 2" xfId="4612" xr:uid="{00000000-0005-0000-0000-000088140000}"/>
    <cellStyle name="Style 911" xfId="271" xr:uid="{00000000-0005-0000-0000-000089140000}"/>
    <cellStyle name="Style 911 10" xfId="2958" xr:uid="{00000000-0005-0000-0000-00008A140000}"/>
    <cellStyle name="Style 911 10 2" xfId="4847" xr:uid="{00000000-0005-0000-0000-00008B140000}"/>
    <cellStyle name="Style 911 11" xfId="3195" xr:uid="{00000000-0005-0000-0000-00008C140000}"/>
    <cellStyle name="Style 911 11 2" xfId="5081" xr:uid="{00000000-0005-0000-0000-00008D140000}"/>
    <cellStyle name="Style 911 12" xfId="5317" xr:uid="{00000000-0005-0000-0000-00008E140000}"/>
    <cellStyle name="Style 911 12 2" xfId="6777" xr:uid="{00000000-0005-0000-0000-00008E140000}"/>
    <cellStyle name="Style 911 13" xfId="5535" xr:uid="{00000000-0005-0000-0000-00008F140000}"/>
    <cellStyle name="Style 911 13 2" xfId="6959" xr:uid="{00000000-0005-0000-0000-00008F140000}"/>
    <cellStyle name="Style 911 14" xfId="5900" xr:uid="{00000000-0005-0000-0000-000090140000}"/>
    <cellStyle name="Style 911 14 2" xfId="7320" xr:uid="{00000000-0005-0000-0000-000090140000}"/>
    <cellStyle name="Style 911 15" xfId="6391" xr:uid="{00000000-0005-0000-0000-000091140000}"/>
    <cellStyle name="Style 911 15 2" xfId="7669" xr:uid="{00000000-0005-0000-0000-000091140000}"/>
    <cellStyle name="Style 911 2" xfId="505" xr:uid="{00000000-0005-0000-0000-000092140000}"/>
    <cellStyle name="Style 911 2 2" xfId="978" xr:uid="{00000000-0005-0000-0000-000093140000}"/>
    <cellStyle name="Style 911 2 2 2" xfId="8771" xr:uid="{18F9929B-F49E-46E3-84D1-77A3C0C55058}"/>
    <cellStyle name="Style 911 2 3" xfId="8770" xr:uid="{15E908CF-0399-4AF0-87A1-C622BB2BBDC0}"/>
    <cellStyle name="Style 911 3" xfId="739" xr:uid="{00000000-0005-0000-0000-000094140000}"/>
    <cellStyle name="Style 911 3 2" xfId="1212" xr:uid="{00000000-0005-0000-0000-000095140000}"/>
    <cellStyle name="Style 911 3 3" xfId="8772" xr:uid="{C01C6B35-0C5A-4A8C-AF06-631F9E39D8CC}"/>
    <cellStyle name="Style 911 4" xfId="1452" xr:uid="{00000000-0005-0000-0000-000096140000}"/>
    <cellStyle name="Style 911 4 2" xfId="3436" xr:uid="{00000000-0005-0000-0000-000097140000}"/>
    <cellStyle name="Style 911 4 3" xfId="8773" xr:uid="{9DD42F39-F6D3-495D-91AE-0A7D094A23C8}"/>
    <cellStyle name="Style 911 5" xfId="1747" xr:uid="{00000000-0005-0000-0000-000098140000}"/>
    <cellStyle name="Style 911 5 2" xfId="3674" xr:uid="{00000000-0005-0000-0000-000099140000}"/>
    <cellStyle name="Style 911 6" xfId="1998" xr:uid="{00000000-0005-0000-0000-00009A140000}"/>
    <cellStyle name="Style 911 6 2" xfId="3908" xr:uid="{00000000-0005-0000-0000-00009B140000}"/>
    <cellStyle name="Style 911 7" xfId="2242" xr:uid="{00000000-0005-0000-0000-00009C140000}"/>
    <cellStyle name="Style 911 7 2" xfId="4143" xr:uid="{00000000-0005-0000-0000-00009D140000}"/>
    <cellStyle name="Style 911 8" xfId="2477" xr:uid="{00000000-0005-0000-0000-00009E140000}"/>
    <cellStyle name="Style 911 8 2" xfId="4378" xr:uid="{00000000-0005-0000-0000-00009F140000}"/>
    <cellStyle name="Style 911 9" xfId="2724" xr:uid="{00000000-0005-0000-0000-0000A0140000}"/>
    <cellStyle name="Style 911 9 2" xfId="4613" xr:uid="{00000000-0005-0000-0000-0000A1140000}"/>
    <cellStyle name="Style 912" xfId="272" xr:uid="{00000000-0005-0000-0000-0000A2140000}"/>
    <cellStyle name="Style 912 10" xfId="2959" xr:uid="{00000000-0005-0000-0000-0000A3140000}"/>
    <cellStyle name="Style 912 10 2" xfId="4848" xr:uid="{00000000-0005-0000-0000-0000A4140000}"/>
    <cellStyle name="Style 912 11" xfId="3196" xr:uid="{00000000-0005-0000-0000-0000A5140000}"/>
    <cellStyle name="Style 912 11 2" xfId="5082" xr:uid="{00000000-0005-0000-0000-0000A6140000}"/>
    <cellStyle name="Style 912 12" xfId="5318" xr:uid="{00000000-0005-0000-0000-0000A7140000}"/>
    <cellStyle name="Style 912 12 2" xfId="6778" xr:uid="{00000000-0005-0000-0000-0000A7140000}"/>
    <cellStyle name="Style 912 13" xfId="5536" xr:uid="{00000000-0005-0000-0000-0000A8140000}"/>
    <cellStyle name="Style 912 13 2" xfId="6960" xr:uid="{00000000-0005-0000-0000-0000A8140000}"/>
    <cellStyle name="Style 912 14" xfId="5901" xr:uid="{00000000-0005-0000-0000-0000A9140000}"/>
    <cellStyle name="Style 912 14 2" xfId="7321" xr:uid="{00000000-0005-0000-0000-0000A9140000}"/>
    <cellStyle name="Style 912 15" xfId="6392" xr:uid="{00000000-0005-0000-0000-0000AA140000}"/>
    <cellStyle name="Style 912 15 2" xfId="7670" xr:uid="{00000000-0005-0000-0000-0000AA140000}"/>
    <cellStyle name="Style 912 2" xfId="506" xr:uid="{00000000-0005-0000-0000-0000AB140000}"/>
    <cellStyle name="Style 912 2 2" xfId="979" xr:uid="{00000000-0005-0000-0000-0000AC140000}"/>
    <cellStyle name="Style 912 2 2 2" xfId="8775" xr:uid="{ADE2124A-65FD-41EE-9BD6-B78B39D06693}"/>
    <cellStyle name="Style 912 2 3" xfId="8774" xr:uid="{B1187A03-98ED-4C92-AACB-5C37FE9D9791}"/>
    <cellStyle name="Style 912 3" xfId="740" xr:uid="{00000000-0005-0000-0000-0000AD140000}"/>
    <cellStyle name="Style 912 3 2" xfId="1213" xr:uid="{00000000-0005-0000-0000-0000AE140000}"/>
    <cellStyle name="Style 912 3 3" xfId="8776" xr:uid="{8F05501F-EDE2-4CC1-AC38-20C47C59A145}"/>
    <cellStyle name="Style 912 4" xfId="1453" xr:uid="{00000000-0005-0000-0000-0000AF140000}"/>
    <cellStyle name="Style 912 4 2" xfId="3437" xr:uid="{00000000-0005-0000-0000-0000B0140000}"/>
    <cellStyle name="Style 912 4 3" xfId="8777" xr:uid="{0963D1B7-1375-4966-93D0-B0600D86C7F3}"/>
    <cellStyle name="Style 912 5" xfId="1748" xr:uid="{00000000-0005-0000-0000-0000B1140000}"/>
    <cellStyle name="Style 912 5 2" xfId="3675" xr:uid="{00000000-0005-0000-0000-0000B2140000}"/>
    <cellStyle name="Style 912 6" xfId="1999" xr:uid="{00000000-0005-0000-0000-0000B3140000}"/>
    <cellStyle name="Style 912 6 2" xfId="3909" xr:uid="{00000000-0005-0000-0000-0000B4140000}"/>
    <cellStyle name="Style 912 7" xfId="2243" xr:uid="{00000000-0005-0000-0000-0000B5140000}"/>
    <cellStyle name="Style 912 7 2" xfId="4144" xr:uid="{00000000-0005-0000-0000-0000B6140000}"/>
    <cellStyle name="Style 912 8" xfId="2478" xr:uid="{00000000-0005-0000-0000-0000B7140000}"/>
    <cellStyle name="Style 912 8 2" xfId="4379" xr:uid="{00000000-0005-0000-0000-0000B8140000}"/>
    <cellStyle name="Style 912 9" xfId="2725" xr:uid="{00000000-0005-0000-0000-0000B9140000}"/>
    <cellStyle name="Style 912 9 2" xfId="4614" xr:uid="{00000000-0005-0000-0000-0000BA140000}"/>
    <cellStyle name="Style 913" xfId="273" xr:uid="{00000000-0005-0000-0000-0000BB140000}"/>
    <cellStyle name="Style 913 10" xfId="2960" xr:uid="{00000000-0005-0000-0000-0000BC140000}"/>
    <cellStyle name="Style 913 10 2" xfId="4849" xr:uid="{00000000-0005-0000-0000-0000BD140000}"/>
    <cellStyle name="Style 913 11" xfId="3197" xr:uid="{00000000-0005-0000-0000-0000BE140000}"/>
    <cellStyle name="Style 913 11 2" xfId="5083" xr:uid="{00000000-0005-0000-0000-0000BF140000}"/>
    <cellStyle name="Style 913 12" xfId="5319" xr:uid="{00000000-0005-0000-0000-0000C0140000}"/>
    <cellStyle name="Style 913 12 2" xfId="6779" xr:uid="{00000000-0005-0000-0000-0000C0140000}"/>
    <cellStyle name="Style 913 13" xfId="5537" xr:uid="{00000000-0005-0000-0000-0000C1140000}"/>
    <cellStyle name="Style 913 13 2" xfId="6961" xr:uid="{00000000-0005-0000-0000-0000C1140000}"/>
    <cellStyle name="Style 913 14" xfId="5902" xr:uid="{00000000-0005-0000-0000-0000C2140000}"/>
    <cellStyle name="Style 913 14 2" xfId="7322" xr:uid="{00000000-0005-0000-0000-0000C2140000}"/>
    <cellStyle name="Style 913 15" xfId="6393" xr:uid="{00000000-0005-0000-0000-0000C3140000}"/>
    <cellStyle name="Style 913 15 2" xfId="7671" xr:uid="{00000000-0005-0000-0000-0000C3140000}"/>
    <cellStyle name="Style 913 2" xfId="507" xr:uid="{00000000-0005-0000-0000-0000C4140000}"/>
    <cellStyle name="Style 913 2 2" xfId="980" xr:uid="{00000000-0005-0000-0000-0000C5140000}"/>
    <cellStyle name="Style 913 2 2 2" xfId="8779" xr:uid="{FA48BF2C-C6AC-45B2-8D2C-428DA1123BF7}"/>
    <cellStyle name="Style 913 2 3" xfId="8778" xr:uid="{D69984C7-8604-4869-80F7-02B7321AE78B}"/>
    <cellStyle name="Style 913 3" xfId="741" xr:uid="{00000000-0005-0000-0000-0000C6140000}"/>
    <cellStyle name="Style 913 3 2" xfId="1214" xr:uid="{00000000-0005-0000-0000-0000C7140000}"/>
    <cellStyle name="Style 913 3 3" xfId="8780" xr:uid="{55CB40CF-0E16-429E-818D-D4634BD0267B}"/>
    <cellStyle name="Style 913 4" xfId="1454" xr:uid="{00000000-0005-0000-0000-0000C8140000}"/>
    <cellStyle name="Style 913 4 2" xfId="3438" xr:uid="{00000000-0005-0000-0000-0000C9140000}"/>
    <cellStyle name="Style 913 4 3" xfId="8781" xr:uid="{EA022FB5-9D43-4522-9F82-BF5514459FF6}"/>
    <cellStyle name="Style 913 5" xfId="1749" xr:uid="{00000000-0005-0000-0000-0000CA140000}"/>
    <cellStyle name="Style 913 5 2" xfId="3676" xr:uid="{00000000-0005-0000-0000-0000CB140000}"/>
    <cellStyle name="Style 913 6" xfId="2000" xr:uid="{00000000-0005-0000-0000-0000CC140000}"/>
    <cellStyle name="Style 913 6 2" xfId="3910" xr:uid="{00000000-0005-0000-0000-0000CD140000}"/>
    <cellStyle name="Style 913 7" xfId="2244" xr:uid="{00000000-0005-0000-0000-0000CE140000}"/>
    <cellStyle name="Style 913 7 2" xfId="4145" xr:uid="{00000000-0005-0000-0000-0000CF140000}"/>
    <cellStyle name="Style 913 8" xfId="2479" xr:uid="{00000000-0005-0000-0000-0000D0140000}"/>
    <cellStyle name="Style 913 8 2" xfId="4380" xr:uid="{00000000-0005-0000-0000-0000D1140000}"/>
    <cellStyle name="Style 913 9" xfId="2726" xr:uid="{00000000-0005-0000-0000-0000D2140000}"/>
    <cellStyle name="Style 913 9 2" xfId="4615" xr:uid="{00000000-0005-0000-0000-0000D3140000}"/>
    <cellStyle name="Style 914" xfId="274" xr:uid="{00000000-0005-0000-0000-0000D4140000}"/>
    <cellStyle name="Style 914 10" xfId="2961" xr:uid="{00000000-0005-0000-0000-0000D5140000}"/>
    <cellStyle name="Style 914 10 2" xfId="4850" xr:uid="{00000000-0005-0000-0000-0000D6140000}"/>
    <cellStyle name="Style 914 11" xfId="3198" xr:uid="{00000000-0005-0000-0000-0000D7140000}"/>
    <cellStyle name="Style 914 11 2" xfId="5084" xr:uid="{00000000-0005-0000-0000-0000D8140000}"/>
    <cellStyle name="Style 914 12" xfId="5320" xr:uid="{00000000-0005-0000-0000-0000D9140000}"/>
    <cellStyle name="Style 914 12 2" xfId="6780" xr:uid="{00000000-0005-0000-0000-0000D9140000}"/>
    <cellStyle name="Style 914 13" xfId="5710" xr:uid="{00000000-0005-0000-0000-0000DA140000}"/>
    <cellStyle name="Style 914 13 2" xfId="7130" xr:uid="{00000000-0005-0000-0000-0000DA140000}"/>
    <cellStyle name="Style 914 14" xfId="5903" xr:uid="{00000000-0005-0000-0000-0000DB140000}"/>
    <cellStyle name="Style 914 14 2" xfId="7323" xr:uid="{00000000-0005-0000-0000-0000DB140000}"/>
    <cellStyle name="Style 914 15" xfId="6394" xr:uid="{00000000-0005-0000-0000-0000DC140000}"/>
    <cellStyle name="Style 914 15 2" xfId="7672" xr:uid="{00000000-0005-0000-0000-0000DC140000}"/>
    <cellStyle name="Style 914 2" xfId="508" xr:uid="{00000000-0005-0000-0000-0000DD140000}"/>
    <cellStyle name="Style 914 2 2" xfId="981" xr:uid="{00000000-0005-0000-0000-0000DE140000}"/>
    <cellStyle name="Style 914 2 3" xfId="8782" xr:uid="{B7F0EE14-C682-4797-A133-98D5BF25EF8E}"/>
    <cellStyle name="Style 914 3" xfId="742" xr:uid="{00000000-0005-0000-0000-0000DF140000}"/>
    <cellStyle name="Style 914 3 2" xfId="1215" xr:uid="{00000000-0005-0000-0000-0000E0140000}"/>
    <cellStyle name="Style 914 3 3" xfId="8783" xr:uid="{E3D3D86A-0A99-4890-9C8D-2E8FAC251A39}"/>
    <cellStyle name="Style 914 4" xfId="1455" xr:uid="{00000000-0005-0000-0000-0000E1140000}"/>
    <cellStyle name="Style 914 4 2" xfId="3439" xr:uid="{00000000-0005-0000-0000-0000E2140000}"/>
    <cellStyle name="Style 914 5" xfId="1750" xr:uid="{00000000-0005-0000-0000-0000E3140000}"/>
    <cellStyle name="Style 914 5 2" xfId="3677" xr:uid="{00000000-0005-0000-0000-0000E4140000}"/>
    <cellStyle name="Style 914 6" xfId="2001" xr:uid="{00000000-0005-0000-0000-0000E5140000}"/>
    <cellStyle name="Style 914 6 2" xfId="3911" xr:uid="{00000000-0005-0000-0000-0000E6140000}"/>
    <cellStyle name="Style 914 7" xfId="2245" xr:uid="{00000000-0005-0000-0000-0000E7140000}"/>
    <cellStyle name="Style 914 7 2" xfId="4146" xr:uid="{00000000-0005-0000-0000-0000E8140000}"/>
    <cellStyle name="Style 914 8" xfId="2480" xr:uid="{00000000-0005-0000-0000-0000E9140000}"/>
    <cellStyle name="Style 914 8 2" xfId="4381" xr:uid="{00000000-0005-0000-0000-0000EA140000}"/>
    <cellStyle name="Style 914 9" xfId="2727" xr:uid="{00000000-0005-0000-0000-0000EB140000}"/>
    <cellStyle name="Style 914 9 2" xfId="4616" xr:uid="{00000000-0005-0000-0000-0000EC140000}"/>
    <cellStyle name="Style 918" xfId="275" xr:uid="{00000000-0005-0000-0000-0000ED140000}"/>
    <cellStyle name="Style 918 10" xfId="2962" xr:uid="{00000000-0005-0000-0000-0000EE140000}"/>
    <cellStyle name="Style 918 10 2" xfId="4851" xr:uid="{00000000-0005-0000-0000-0000EF140000}"/>
    <cellStyle name="Style 918 11" xfId="3199" xr:uid="{00000000-0005-0000-0000-0000F0140000}"/>
    <cellStyle name="Style 918 11 2" xfId="5085" xr:uid="{00000000-0005-0000-0000-0000F1140000}"/>
    <cellStyle name="Style 918 12" xfId="5321" xr:uid="{00000000-0005-0000-0000-0000F2140000}"/>
    <cellStyle name="Style 918 12 2" xfId="6781" xr:uid="{00000000-0005-0000-0000-0000F2140000}"/>
    <cellStyle name="Style 918 13" xfId="5538" xr:uid="{00000000-0005-0000-0000-0000F3140000}"/>
    <cellStyle name="Style 918 13 2" xfId="6962" xr:uid="{00000000-0005-0000-0000-0000F3140000}"/>
    <cellStyle name="Style 918 14" xfId="5711" xr:uid="{00000000-0005-0000-0000-0000F4140000}"/>
    <cellStyle name="Style 918 14 2" xfId="7131" xr:uid="{00000000-0005-0000-0000-0000F4140000}"/>
    <cellStyle name="Style 918 15" xfId="5904" xr:uid="{00000000-0005-0000-0000-0000F5140000}"/>
    <cellStyle name="Style 918 15 2" xfId="7324" xr:uid="{00000000-0005-0000-0000-0000F5140000}"/>
    <cellStyle name="Style 918 16" xfId="6040" xr:uid="{00000000-0005-0000-0000-0000F6140000}"/>
    <cellStyle name="Style 918 16 2" xfId="7460" xr:uid="{00000000-0005-0000-0000-0000F6140000}"/>
    <cellStyle name="Style 918 17" xfId="6395" xr:uid="{00000000-0005-0000-0000-0000F7140000}"/>
    <cellStyle name="Style 918 17 2" xfId="7673" xr:uid="{00000000-0005-0000-0000-0000F7140000}"/>
    <cellStyle name="Style 918 2" xfId="509" xr:uid="{00000000-0005-0000-0000-0000F8140000}"/>
    <cellStyle name="Style 918 2 2" xfId="982" xr:uid="{00000000-0005-0000-0000-0000F9140000}"/>
    <cellStyle name="Style 918 2 2 2" xfId="8785" xr:uid="{A0162386-CF7B-45CA-A3C8-75CF132119A1}"/>
    <cellStyle name="Style 918 2 3" xfId="8784" xr:uid="{FA356E1F-F687-4D9F-9288-7B778AA52E1D}"/>
    <cellStyle name="Style 918 3" xfId="743" xr:uid="{00000000-0005-0000-0000-0000FA140000}"/>
    <cellStyle name="Style 918 3 2" xfId="1216" xr:uid="{00000000-0005-0000-0000-0000FB140000}"/>
    <cellStyle name="Style 918 3 3" xfId="8786" xr:uid="{C0A44B18-F513-4F45-91F5-7E7FEE943412}"/>
    <cellStyle name="Style 918 4" xfId="1456" xr:uid="{00000000-0005-0000-0000-0000FC140000}"/>
    <cellStyle name="Style 918 4 2" xfId="3440" xr:uid="{00000000-0005-0000-0000-0000FD140000}"/>
    <cellStyle name="Style 918 5" xfId="1751" xr:uid="{00000000-0005-0000-0000-0000FE140000}"/>
    <cellStyle name="Style 918 5 2" xfId="3678" xr:uid="{00000000-0005-0000-0000-0000FF140000}"/>
    <cellStyle name="Style 918 6" xfId="2002" xr:uid="{00000000-0005-0000-0000-000000150000}"/>
    <cellStyle name="Style 918 6 2" xfId="3912" xr:uid="{00000000-0005-0000-0000-000001150000}"/>
    <cellStyle name="Style 918 7" xfId="2246" xr:uid="{00000000-0005-0000-0000-000002150000}"/>
    <cellStyle name="Style 918 7 2" xfId="4147" xr:uid="{00000000-0005-0000-0000-000003150000}"/>
    <cellStyle name="Style 918 8" xfId="2481" xr:uid="{00000000-0005-0000-0000-000004150000}"/>
    <cellStyle name="Style 918 8 2" xfId="4382" xr:uid="{00000000-0005-0000-0000-000005150000}"/>
    <cellStyle name="Style 918 9" xfId="2728" xr:uid="{00000000-0005-0000-0000-000006150000}"/>
    <cellStyle name="Style 918 9 2" xfId="4617" xr:uid="{00000000-0005-0000-0000-000007150000}"/>
    <cellStyle name="Style 919" xfId="276" xr:uid="{00000000-0005-0000-0000-000008150000}"/>
    <cellStyle name="Style 919 10" xfId="2963" xr:uid="{00000000-0005-0000-0000-000009150000}"/>
    <cellStyle name="Style 919 10 2" xfId="4852" xr:uid="{00000000-0005-0000-0000-00000A150000}"/>
    <cellStyle name="Style 919 11" xfId="3200" xr:uid="{00000000-0005-0000-0000-00000B150000}"/>
    <cellStyle name="Style 919 11 2" xfId="5086" xr:uid="{00000000-0005-0000-0000-00000C150000}"/>
    <cellStyle name="Style 919 12" xfId="5322" xr:uid="{00000000-0005-0000-0000-00000D150000}"/>
    <cellStyle name="Style 919 12 2" xfId="6782" xr:uid="{00000000-0005-0000-0000-00000D150000}"/>
    <cellStyle name="Style 919 13" xfId="5539" xr:uid="{00000000-0005-0000-0000-00000E150000}"/>
    <cellStyle name="Style 919 13 2" xfId="6963" xr:uid="{00000000-0005-0000-0000-00000E150000}"/>
    <cellStyle name="Style 919 14" xfId="5905" xr:uid="{00000000-0005-0000-0000-00000F150000}"/>
    <cellStyle name="Style 919 14 2" xfId="7325" xr:uid="{00000000-0005-0000-0000-00000F150000}"/>
    <cellStyle name="Style 919 15" xfId="6396" xr:uid="{00000000-0005-0000-0000-000010150000}"/>
    <cellStyle name="Style 919 15 2" xfId="7674" xr:uid="{00000000-0005-0000-0000-000010150000}"/>
    <cellStyle name="Style 919 2" xfId="510" xr:uid="{00000000-0005-0000-0000-000011150000}"/>
    <cellStyle name="Style 919 2 2" xfId="983" xr:uid="{00000000-0005-0000-0000-000012150000}"/>
    <cellStyle name="Style 919 2 2 2" xfId="8788" xr:uid="{F68057EA-A06B-4382-8A2E-8AFE9EA7EC26}"/>
    <cellStyle name="Style 919 2 3" xfId="8787" xr:uid="{C8E7CDD8-34B9-4B63-8DF8-62750331755F}"/>
    <cellStyle name="Style 919 3" xfId="744" xr:uid="{00000000-0005-0000-0000-000013150000}"/>
    <cellStyle name="Style 919 3 2" xfId="1217" xr:uid="{00000000-0005-0000-0000-000014150000}"/>
    <cellStyle name="Style 919 3 3" xfId="8789" xr:uid="{3100D38F-C21D-49D6-BB01-47D9EA353A17}"/>
    <cellStyle name="Style 919 4" xfId="1457" xr:uid="{00000000-0005-0000-0000-000015150000}"/>
    <cellStyle name="Style 919 4 2" xfId="3441" xr:uid="{00000000-0005-0000-0000-000016150000}"/>
    <cellStyle name="Style 919 4 3" xfId="8790" xr:uid="{109BF1DA-7060-4E66-8A8B-1954C679B9B3}"/>
    <cellStyle name="Style 919 5" xfId="1752" xr:uid="{00000000-0005-0000-0000-000017150000}"/>
    <cellStyle name="Style 919 5 2" xfId="3679" xr:uid="{00000000-0005-0000-0000-000018150000}"/>
    <cellStyle name="Style 919 6" xfId="2003" xr:uid="{00000000-0005-0000-0000-000019150000}"/>
    <cellStyle name="Style 919 6 2" xfId="3913" xr:uid="{00000000-0005-0000-0000-00001A150000}"/>
    <cellStyle name="Style 919 7" xfId="2247" xr:uid="{00000000-0005-0000-0000-00001B150000}"/>
    <cellStyle name="Style 919 7 2" xfId="4148" xr:uid="{00000000-0005-0000-0000-00001C150000}"/>
    <cellStyle name="Style 919 8" xfId="2482" xr:uid="{00000000-0005-0000-0000-00001D150000}"/>
    <cellStyle name="Style 919 8 2" xfId="4383" xr:uid="{00000000-0005-0000-0000-00001E150000}"/>
    <cellStyle name="Style 919 9" xfId="2729" xr:uid="{00000000-0005-0000-0000-00001F150000}"/>
    <cellStyle name="Style 919 9 2" xfId="4618" xr:uid="{00000000-0005-0000-0000-000020150000}"/>
    <cellStyle name="Style 920" xfId="277" xr:uid="{00000000-0005-0000-0000-000021150000}"/>
    <cellStyle name="Style 920 10" xfId="2964" xr:uid="{00000000-0005-0000-0000-000022150000}"/>
    <cellStyle name="Style 920 10 2" xfId="4853" xr:uid="{00000000-0005-0000-0000-000023150000}"/>
    <cellStyle name="Style 920 11" xfId="3201" xr:uid="{00000000-0005-0000-0000-000024150000}"/>
    <cellStyle name="Style 920 11 2" xfId="5087" xr:uid="{00000000-0005-0000-0000-000025150000}"/>
    <cellStyle name="Style 920 12" xfId="5323" xr:uid="{00000000-0005-0000-0000-000026150000}"/>
    <cellStyle name="Style 920 12 2" xfId="6783" xr:uid="{00000000-0005-0000-0000-000026150000}"/>
    <cellStyle name="Style 920 13" xfId="5540" xr:uid="{00000000-0005-0000-0000-000027150000}"/>
    <cellStyle name="Style 920 13 2" xfId="6964" xr:uid="{00000000-0005-0000-0000-000027150000}"/>
    <cellStyle name="Style 920 14" xfId="5906" xr:uid="{00000000-0005-0000-0000-000028150000}"/>
    <cellStyle name="Style 920 14 2" xfId="7326" xr:uid="{00000000-0005-0000-0000-000028150000}"/>
    <cellStyle name="Style 920 15" xfId="6397" xr:uid="{00000000-0005-0000-0000-000029150000}"/>
    <cellStyle name="Style 920 15 2" xfId="7675" xr:uid="{00000000-0005-0000-0000-000029150000}"/>
    <cellStyle name="Style 920 2" xfId="511" xr:uid="{00000000-0005-0000-0000-00002A150000}"/>
    <cellStyle name="Style 920 2 2" xfId="984" xr:uid="{00000000-0005-0000-0000-00002B150000}"/>
    <cellStyle name="Style 920 2 2 2" xfId="8792" xr:uid="{5147A29A-32A0-4B6A-9BF4-5D6D6E8A8CB1}"/>
    <cellStyle name="Style 920 2 3" xfId="8791" xr:uid="{231B735B-9AB5-495F-853A-E9A65D2F5531}"/>
    <cellStyle name="Style 920 3" xfId="745" xr:uid="{00000000-0005-0000-0000-00002C150000}"/>
    <cellStyle name="Style 920 3 2" xfId="1218" xr:uid="{00000000-0005-0000-0000-00002D150000}"/>
    <cellStyle name="Style 920 3 3" xfId="8793" xr:uid="{F1F633DD-1A99-4A5F-AC4D-CDE920FFC732}"/>
    <cellStyle name="Style 920 4" xfId="1458" xr:uid="{00000000-0005-0000-0000-00002E150000}"/>
    <cellStyle name="Style 920 4 2" xfId="3442" xr:uid="{00000000-0005-0000-0000-00002F150000}"/>
    <cellStyle name="Style 920 4 3" xfId="8794" xr:uid="{E0758B64-746B-43D0-9F22-9A11A3E2FD62}"/>
    <cellStyle name="Style 920 5" xfId="1753" xr:uid="{00000000-0005-0000-0000-000030150000}"/>
    <cellStyle name="Style 920 5 2" xfId="3680" xr:uid="{00000000-0005-0000-0000-000031150000}"/>
    <cellStyle name="Style 920 6" xfId="2004" xr:uid="{00000000-0005-0000-0000-000032150000}"/>
    <cellStyle name="Style 920 6 2" xfId="3914" xr:uid="{00000000-0005-0000-0000-000033150000}"/>
    <cellStyle name="Style 920 7" xfId="2248" xr:uid="{00000000-0005-0000-0000-000034150000}"/>
    <cellStyle name="Style 920 7 2" xfId="4149" xr:uid="{00000000-0005-0000-0000-000035150000}"/>
    <cellStyle name="Style 920 8" xfId="2483" xr:uid="{00000000-0005-0000-0000-000036150000}"/>
    <cellStyle name="Style 920 8 2" xfId="4384" xr:uid="{00000000-0005-0000-0000-000037150000}"/>
    <cellStyle name="Style 920 9" xfId="2730" xr:uid="{00000000-0005-0000-0000-000038150000}"/>
    <cellStyle name="Style 920 9 2" xfId="4619" xr:uid="{00000000-0005-0000-0000-000039150000}"/>
    <cellStyle name="Style 921" xfId="278" xr:uid="{00000000-0005-0000-0000-00003A150000}"/>
    <cellStyle name="Style 921 10" xfId="2965" xr:uid="{00000000-0005-0000-0000-00003B150000}"/>
    <cellStyle name="Style 921 10 2" xfId="4854" xr:uid="{00000000-0005-0000-0000-00003C150000}"/>
    <cellStyle name="Style 921 11" xfId="3202" xr:uid="{00000000-0005-0000-0000-00003D150000}"/>
    <cellStyle name="Style 921 11 2" xfId="5088" xr:uid="{00000000-0005-0000-0000-00003E150000}"/>
    <cellStyle name="Style 921 12" xfId="5324" xr:uid="{00000000-0005-0000-0000-00003F150000}"/>
    <cellStyle name="Style 921 12 2" xfId="6784" xr:uid="{00000000-0005-0000-0000-00003F150000}"/>
    <cellStyle name="Style 921 13" xfId="5541" xr:uid="{00000000-0005-0000-0000-000040150000}"/>
    <cellStyle name="Style 921 13 2" xfId="6965" xr:uid="{00000000-0005-0000-0000-000040150000}"/>
    <cellStyle name="Style 921 14" xfId="5907" xr:uid="{00000000-0005-0000-0000-000041150000}"/>
    <cellStyle name="Style 921 14 2" xfId="7327" xr:uid="{00000000-0005-0000-0000-000041150000}"/>
    <cellStyle name="Style 921 15" xfId="6398" xr:uid="{00000000-0005-0000-0000-000042150000}"/>
    <cellStyle name="Style 921 15 2" xfId="7676" xr:uid="{00000000-0005-0000-0000-000042150000}"/>
    <cellStyle name="Style 921 2" xfId="512" xr:uid="{00000000-0005-0000-0000-000043150000}"/>
    <cellStyle name="Style 921 2 2" xfId="985" xr:uid="{00000000-0005-0000-0000-000044150000}"/>
    <cellStyle name="Style 921 2 2 2" xfId="8796" xr:uid="{AC0BBB2C-CFAC-4059-A2F8-871271D409B5}"/>
    <cellStyle name="Style 921 2 3" xfId="8795" xr:uid="{3C04BBDD-1B12-4FDE-BC08-5266683E0001}"/>
    <cellStyle name="Style 921 3" xfId="746" xr:uid="{00000000-0005-0000-0000-000045150000}"/>
    <cellStyle name="Style 921 3 2" xfId="1219" xr:uid="{00000000-0005-0000-0000-000046150000}"/>
    <cellStyle name="Style 921 3 3" xfId="8797" xr:uid="{8D0252E8-6598-43B0-B586-3B16718D7533}"/>
    <cellStyle name="Style 921 4" xfId="1459" xr:uid="{00000000-0005-0000-0000-000047150000}"/>
    <cellStyle name="Style 921 4 2" xfId="3443" xr:uid="{00000000-0005-0000-0000-000048150000}"/>
    <cellStyle name="Style 921 4 3" xfId="8798" xr:uid="{F8D19EAA-2064-4BBA-8BAD-56A07BC40385}"/>
    <cellStyle name="Style 921 5" xfId="1754" xr:uid="{00000000-0005-0000-0000-000049150000}"/>
    <cellStyle name="Style 921 5 2" xfId="3681" xr:uid="{00000000-0005-0000-0000-00004A150000}"/>
    <cellStyle name="Style 921 6" xfId="2005" xr:uid="{00000000-0005-0000-0000-00004B150000}"/>
    <cellStyle name="Style 921 6 2" xfId="3915" xr:uid="{00000000-0005-0000-0000-00004C150000}"/>
    <cellStyle name="Style 921 7" xfId="2249" xr:uid="{00000000-0005-0000-0000-00004D150000}"/>
    <cellStyle name="Style 921 7 2" xfId="4150" xr:uid="{00000000-0005-0000-0000-00004E150000}"/>
    <cellStyle name="Style 921 8" xfId="2484" xr:uid="{00000000-0005-0000-0000-00004F150000}"/>
    <cellStyle name="Style 921 8 2" xfId="4385" xr:uid="{00000000-0005-0000-0000-000050150000}"/>
    <cellStyle name="Style 921 9" xfId="2731" xr:uid="{00000000-0005-0000-0000-000051150000}"/>
    <cellStyle name="Style 921 9 2" xfId="4620" xr:uid="{00000000-0005-0000-0000-000052150000}"/>
    <cellStyle name="Style 926" xfId="279" xr:uid="{00000000-0005-0000-0000-000053150000}"/>
    <cellStyle name="Style 926 10" xfId="2966" xr:uid="{00000000-0005-0000-0000-000054150000}"/>
    <cellStyle name="Style 926 10 2" xfId="4855" xr:uid="{00000000-0005-0000-0000-000055150000}"/>
    <cellStyle name="Style 926 11" xfId="3203" xr:uid="{00000000-0005-0000-0000-000056150000}"/>
    <cellStyle name="Style 926 11 2" xfId="5089" xr:uid="{00000000-0005-0000-0000-000057150000}"/>
    <cellStyle name="Style 926 12" xfId="5325" xr:uid="{00000000-0005-0000-0000-000058150000}"/>
    <cellStyle name="Style 926 12 2" xfId="6785" xr:uid="{00000000-0005-0000-0000-000058150000}"/>
    <cellStyle name="Style 926 13" xfId="5542" xr:uid="{00000000-0005-0000-0000-000059150000}"/>
    <cellStyle name="Style 926 13 2" xfId="6966" xr:uid="{00000000-0005-0000-0000-000059150000}"/>
    <cellStyle name="Style 926 14" xfId="5908" xr:uid="{00000000-0005-0000-0000-00005A150000}"/>
    <cellStyle name="Style 926 14 2" xfId="7328" xr:uid="{00000000-0005-0000-0000-00005A150000}"/>
    <cellStyle name="Style 926 15" xfId="6399" xr:uid="{00000000-0005-0000-0000-00005B150000}"/>
    <cellStyle name="Style 926 15 2" xfId="7677" xr:uid="{00000000-0005-0000-0000-00005B150000}"/>
    <cellStyle name="Style 926 2" xfId="513" xr:uid="{00000000-0005-0000-0000-00005C150000}"/>
    <cellStyle name="Style 926 2 2" xfId="986" xr:uid="{00000000-0005-0000-0000-00005D150000}"/>
    <cellStyle name="Style 926 2 2 2" xfId="8800" xr:uid="{A02F70C3-B879-4763-909F-0F4B9C17839F}"/>
    <cellStyle name="Style 926 2 3" xfId="8799" xr:uid="{8027D283-A62F-433E-B0E7-5766D33032C2}"/>
    <cellStyle name="Style 926 3" xfId="747" xr:uid="{00000000-0005-0000-0000-00005E150000}"/>
    <cellStyle name="Style 926 3 2" xfId="1220" xr:uid="{00000000-0005-0000-0000-00005F150000}"/>
    <cellStyle name="Style 926 3 3" xfId="8801" xr:uid="{B85CE582-EDE4-4896-BA58-E2435CF1FC44}"/>
    <cellStyle name="Style 926 4" xfId="1460" xr:uid="{00000000-0005-0000-0000-000060150000}"/>
    <cellStyle name="Style 926 4 2" xfId="3444" xr:uid="{00000000-0005-0000-0000-000061150000}"/>
    <cellStyle name="Style 926 4 3" xfId="8802" xr:uid="{2169903E-5A7B-4D5F-AE97-48FAB74BBADE}"/>
    <cellStyle name="Style 926 5" xfId="1755" xr:uid="{00000000-0005-0000-0000-000062150000}"/>
    <cellStyle name="Style 926 5 2" xfId="3682" xr:uid="{00000000-0005-0000-0000-000063150000}"/>
    <cellStyle name="Style 926 6" xfId="2006" xr:uid="{00000000-0005-0000-0000-000064150000}"/>
    <cellStyle name="Style 926 6 2" xfId="3916" xr:uid="{00000000-0005-0000-0000-000065150000}"/>
    <cellStyle name="Style 926 7" xfId="2250" xr:uid="{00000000-0005-0000-0000-000066150000}"/>
    <cellStyle name="Style 926 7 2" xfId="4151" xr:uid="{00000000-0005-0000-0000-000067150000}"/>
    <cellStyle name="Style 926 8" xfId="2485" xr:uid="{00000000-0005-0000-0000-000068150000}"/>
    <cellStyle name="Style 926 8 2" xfId="4386" xr:uid="{00000000-0005-0000-0000-000069150000}"/>
    <cellStyle name="Style 926 9" xfId="2732" xr:uid="{00000000-0005-0000-0000-00006A150000}"/>
    <cellStyle name="Style 926 9 2" xfId="4621" xr:uid="{00000000-0005-0000-0000-00006B150000}"/>
    <cellStyle name="Style 927" xfId="280" xr:uid="{00000000-0005-0000-0000-00006C150000}"/>
    <cellStyle name="Style 927 10" xfId="2967" xr:uid="{00000000-0005-0000-0000-00006D150000}"/>
    <cellStyle name="Style 927 10 2" xfId="4856" xr:uid="{00000000-0005-0000-0000-00006E150000}"/>
    <cellStyle name="Style 927 11" xfId="3204" xr:uid="{00000000-0005-0000-0000-00006F150000}"/>
    <cellStyle name="Style 927 11 2" xfId="5090" xr:uid="{00000000-0005-0000-0000-000070150000}"/>
    <cellStyle name="Style 927 12" xfId="5326" xr:uid="{00000000-0005-0000-0000-000071150000}"/>
    <cellStyle name="Style 927 12 2" xfId="6786" xr:uid="{00000000-0005-0000-0000-000071150000}"/>
    <cellStyle name="Style 927 13" xfId="5543" xr:uid="{00000000-0005-0000-0000-000072150000}"/>
    <cellStyle name="Style 927 13 2" xfId="6967" xr:uid="{00000000-0005-0000-0000-000072150000}"/>
    <cellStyle name="Style 927 14" xfId="5909" xr:uid="{00000000-0005-0000-0000-000073150000}"/>
    <cellStyle name="Style 927 14 2" xfId="7329" xr:uid="{00000000-0005-0000-0000-000073150000}"/>
    <cellStyle name="Style 927 15" xfId="6400" xr:uid="{00000000-0005-0000-0000-000074150000}"/>
    <cellStyle name="Style 927 15 2" xfId="7678" xr:uid="{00000000-0005-0000-0000-000074150000}"/>
    <cellStyle name="Style 927 2" xfId="514" xr:uid="{00000000-0005-0000-0000-000075150000}"/>
    <cellStyle name="Style 927 2 2" xfId="987" xr:uid="{00000000-0005-0000-0000-000076150000}"/>
    <cellStyle name="Style 927 2 2 2" xfId="8804" xr:uid="{FEB0CFD6-95A9-438A-808B-163B88BCD539}"/>
    <cellStyle name="Style 927 2 3" xfId="8803" xr:uid="{A241429A-BC83-4823-B68B-BF1629C69AEE}"/>
    <cellStyle name="Style 927 3" xfId="748" xr:uid="{00000000-0005-0000-0000-000077150000}"/>
    <cellStyle name="Style 927 3 2" xfId="1221" xr:uid="{00000000-0005-0000-0000-000078150000}"/>
    <cellStyle name="Style 927 3 3" xfId="8805" xr:uid="{CE7BF25B-262A-4FC0-8EF5-84DBE2ACE1A2}"/>
    <cellStyle name="Style 927 4" xfId="1461" xr:uid="{00000000-0005-0000-0000-000079150000}"/>
    <cellStyle name="Style 927 4 2" xfId="3445" xr:uid="{00000000-0005-0000-0000-00007A150000}"/>
    <cellStyle name="Style 927 4 3" xfId="8806" xr:uid="{55794EE2-0DED-4B87-BAB1-9897D0909217}"/>
    <cellStyle name="Style 927 5" xfId="1756" xr:uid="{00000000-0005-0000-0000-00007B150000}"/>
    <cellStyle name="Style 927 5 2" xfId="3683" xr:uid="{00000000-0005-0000-0000-00007C150000}"/>
    <cellStyle name="Style 927 6" xfId="2007" xr:uid="{00000000-0005-0000-0000-00007D150000}"/>
    <cellStyle name="Style 927 6 2" xfId="3917" xr:uid="{00000000-0005-0000-0000-00007E150000}"/>
    <cellStyle name="Style 927 7" xfId="2251" xr:uid="{00000000-0005-0000-0000-00007F150000}"/>
    <cellStyle name="Style 927 7 2" xfId="4152" xr:uid="{00000000-0005-0000-0000-000080150000}"/>
    <cellStyle name="Style 927 8" xfId="2486" xr:uid="{00000000-0005-0000-0000-000081150000}"/>
    <cellStyle name="Style 927 8 2" xfId="4387" xr:uid="{00000000-0005-0000-0000-000082150000}"/>
    <cellStyle name="Style 927 9" xfId="2733" xr:uid="{00000000-0005-0000-0000-000083150000}"/>
    <cellStyle name="Style 927 9 2" xfId="4622" xr:uid="{00000000-0005-0000-0000-000084150000}"/>
    <cellStyle name="Style 928" xfId="281" xr:uid="{00000000-0005-0000-0000-000085150000}"/>
    <cellStyle name="Style 928 10" xfId="2968" xr:uid="{00000000-0005-0000-0000-000086150000}"/>
    <cellStyle name="Style 928 10 2" xfId="4857" xr:uid="{00000000-0005-0000-0000-000087150000}"/>
    <cellStyle name="Style 928 11" xfId="3205" xr:uid="{00000000-0005-0000-0000-000088150000}"/>
    <cellStyle name="Style 928 11 2" xfId="5091" xr:uid="{00000000-0005-0000-0000-000089150000}"/>
    <cellStyle name="Style 928 12" xfId="5327" xr:uid="{00000000-0005-0000-0000-00008A150000}"/>
    <cellStyle name="Style 928 12 2" xfId="6787" xr:uid="{00000000-0005-0000-0000-00008A150000}"/>
    <cellStyle name="Style 928 13" xfId="5544" xr:uid="{00000000-0005-0000-0000-00008B150000}"/>
    <cellStyle name="Style 928 13 2" xfId="6968" xr:uid="{00000000-0005-0000-0000-00008B150000}"/>
    <cellStyle name="Style 928 14" xfId="5910" xr:uid="{00000000-0005-0000-0000-00008C150000}"/>
    <cellStyle name="Style 928 14 2" xfId="7330" xr:uid="{00000000-0005-0000-0000-00008C150000}"/>
    <cellStyle name="Style 928 15" xfId="6401" xr:uid="{00000000-0005-0000-0000-00008D150000}"/>
    <cellStyle name="Style 928 15 2" xfId="7679" xr:uid="{00000000-0005-0000-0000-00008D150000}"/>
    <cellStyle name="Style 928 2" xfId="515" xr:uid="{00000000-0005-0000-0000-00008E150000}"/>
    <cellStyle name="Style 928 2 2" xfId="988" xr:uid="{00000000-0005-0000-0000-00008F150000}"/>
    <cellStyle name="Style 928 2 2 2" xfId="8808" xr:uid="{4690963D-56EB-47A6-A96C-F3636A428D21}"/>
    <cellStyle name="Style 928 2 3" xfId="8807" xr:uid="{3CF80C25-201D-4CE3-A4DF-CBE4492D37C9}"/>
    <cellStyle name="Style 928 3" xfId="749" xr:uid="{00000000-0005-0000-0000-000090150000}"/>
    <cellStyle name="Style 928 3 2" xfId="1222" xr:uid="{00000000-0005-0000-0000-000091150000}"/>
    <cellStyle name="Style 928 3 3" xfId="8809" xr:uid="{B8948163-251D-42D6-AC9C-DB35A49D041F}"/>
    <cellStyle name="Style 928 4" xfId="1462" xr:uid="{00000000-0005-0000-0000-000092150000}"/>
    <cellStyle name="Style 928 4 2" xfId="3446" xr:uid="{00000000-0005-0000-0000-000093150000}"/>
    <cellStyle name="Style 928 4 3" xfId="8810" xr:uid="{AE20C8A5-1623-4788-B7E3-1BB096DE0319}"/>
    <cellStyle name="Style 928 5" xfId="1757" xr:uid="{00000000-0005-0000-0000-000094150000}"/>
    <cellStyle name="Style 928 5 2" xfId="3684" xr:uid="{00000000-0005-0000-0000-000095150000}"/>
    <cellStyle name="Style 928 6" xfId="2008" xr:uid="{00000000-0005-0000-0000-000096150000}"/>
    <cellStyle name="Style 928 6 2" xfId="3918" xr:uid="{00000000-0005-0000-0000-000097150000}"/>
    <cellStyle name="Style 928 7" xfId="2252" xr:uid="{00000000-0005-0000-0000-000098150000}"/>
    <cellStyle name="Style 928 7 2" xfId="4153" xr:uid="{00000000-0005-0000-0000-000099150000}"/>
    <cellStyle name="Style 928 8" xfId="2487" xr:uid="{00000000-0005-0000-0000-00009A150000}"/>
    <cellStyle name="Style 928 8 2" xfId="4388" xr:uid="{00000000-0005-0000-0000-00009B150000}"/>
    <cellStyle name="Style 928 9" xfId="2734" xr:uid="{00000000-0005-0000-0000-00009C150000}"/>
    <cellStyle name="Style 928 9 2" xfId="4623" xr:uid="{00000000-0005-0000-0000-00009D150000}"/>
    <cellStyle name="Style 929" xfId="282" xr:uid="{00000000-0005-0000-0000-00009E150000}"/>
    <cellStyle name="Style 929 10" xfId="2969" xr:uid="{00000000-0005-0000-0000-00009F150000}"/>
    <cellStyle name="Style 929 10 2" xfId="4858" xr:uid="{00000000-0005-0000-0000-0000A0150000}"/>
    <cellStyle name="Style 929 11" xfId="3206" xr:uid="{00000000-0005-0000-0000-0000A1150000}"/>
    <cellStyle name="Style 929 11 2" xfId="5092" xr:uid="{00000000-0005-0000-0000-0000A2150000}"/>
    <cellStyle name="Style 929 12" xfId="5328" xr:uid="{00000000-0005-0000-0000-0000A3150000}"/>
    <cellStyle name="Style 929 12 2" xfId="6788" xr:uid="{00000000-0005-0000-0000-0000A3150000}"/>
    <cellStyle name="Style 929 13" xfId="5545" xr:uid="{00000000-0005-0000-0000-0000A4150000}"/>
    <cellStyle name="Style 929 13 2" xfId="6969" xr:uid="{00000000-0005-0000-0000-0000A4150000}"/>
    <cellStyle name="Style 929 14" xfId="5911" xr:uid="{00000000-0005-0000-0000-0000A5150000}"/>
    <cellStyle name="Style 929 14 2" xfId="7331" xr:uid="{00000000-0005-0000-0000-0000A5150000}"/>
    <cellStyle name="Style 929 15" xfId="6402" xr:uid="{00000000-0005-0000-0000-0000A6150000}"/>
    <cellStyle name="Style 929 15 2" xfId="7680" xr:uid="{00000000-0005-0000-0000-0000A6150000}"/>
    <cellStyle name="Style 929 2" xfId="516" xr:uid="{00000000-0005-0000-0000-0000A7150000}"/>
    <cellStyle name="Style 929 2 2" xfId="989" xr:uid="{00000000-0005-0000-0000-0000A8150000}"/>
    <cellStyle name="Style 929 2 2 2" xfId="8812" xr:uid="{019C8AF5-44F2-4383-A108-3ABB2782BEDB}"/>
    <cellStyle name="Style 929 2 3" xfId="8811" xr:uid="{1BB69EFF-9B9A-4B58-9C4E-01FA0CC4FEC9}"/>
    <cellStyle name="Style 929 3" xfId="750" xr:uid="{00000000-0005-0000-0000-0000A9150000}"/>
    <cellStyle name="Style 929 3 2" xfId="1223" xr:uid="{00000000-0005-0000-0000-0000AA150000}"/>
    <cellStyle name="Style 929 3 3" xfId="8813" xr:uid="{7C7BD4C1-4795-4D5C-9381-C630884FD396}"/>
    <cellStyle name="Style 929 4" xfId="1463" xr:uid="{00000000-0005-0000-0000-0000AB150000}"/>
    <cellStyle name="Style 929 4 2" xfId="3447" xr:uid="{00000000-0005-0000-0000-0000AC150000}"/>
    <cellStyle name="Style 929 4 3" xfId="8814" xr:uid="{BBFA9299-5623-4FAC-9D43-FC5068D56A81}"/>
    <cellStyle name="Style 929 5" xfId="1758" xr:uid="{00000000-0005-0000-0000-0000AD150000}"/>
    <cellStyle name="Style 929 5 2" xfId="3685" xr:uid="{00000000-0005-0000-0000-0000AE150000}"/>
    <cellStyle name="Style 929 6" xfId="2009" xr:uid="{00000000-0005-0000-0000-0000AF150000}"/>
    <cellStyle name="Style 929 6 2" xfId="3919" xr:uid="{00000000-0005-0000-0000-0000B0150000}"/>
    <cellStyle name="Style 929 7" xfId="2253" xr:uid="{00000000-0005-0000-0000-0000B1150000}"/>
    <cellStyle name="Style 929 7 2" xfId="4154" xr:uid="{00000000-0005-0000-0000-0000B2150000}"/>
    <cellStyle name="Style 929 8" xfId="2488" xr:uid="{00000000-0005-0000-0000-0000B3150000}"/>
    <cellStyle name="Style 929 8 2" xfId="4389" xr:uid="{00000000-0005-0000-0000-0000B4150000}"/>
    <cellStyle name="Style 929 9" xfId="2735" xr:uid="{00000000-0005-0000-0000-0000B5150000}"/>
    <cellStyle name="Style 929 9 2" xfId="4624" xr:uid="{00000000-0005-0000-0000-0000B6150000}"/>
    <cellStyle name="Style 934" xfId="283" xr:uid="{00000000-0005-0000-0000-0000B7150000}"/>
    <cellStyle name="Style 934 10" xfId="2970" xr:uid="{00000000-0005-0000-0000-0000B8150000}"/>
    <cellStyle name="Style 934 10 2" xfId="4859" xr:uid="{00000000-0005-0000-0000-0000B9150000}"/>
    <cellStyle name="Style 934 11" xfId="3207" xr:uid="{00000000-0005-0000-0000-0000BA150000}"/>
    <cellStyle name="Style 934 11 2" xfId="5093" xr:uid="{00000000-0005-0000-0000-0000BB150000}"/>
    <cellStyle name="Style 934 12" xfId="5329" xr:uid="{00000000-0005-0000-0000-0000BC150000}"/>
    <cellStyle name="Style 934 12 2" xfId="6789" xr:uid="{00000000-0005-0000-0000-0000BC150000}"/>
    <cellStyle name="Style 934 13" xfId="5546" xr:uid="{00000000-0005-0000-0000-0000BD150000}"/>
    <cellStyle name="Style 934 13 2" xfId="6970" xr:uid="{00000000-0005-0000-0000-0000BD150000}"/>
    <cellStyle name="Style 934 14" xfId="5912" xr:uid="{00000000-0005-0000-0000-0000BE150000}"/>
    <cellStyle name="Style 934 14 2" xfId="7332" xr:uid="{00000000-0005-0000-0000-0000BE150000}"/>
    <cellStyle name="Style 934 15" xfId="6403" xr:uid="{00000000-0005-0000-0000-0000BF150000}"/>
    <cellStyle name="Style 934 15 2" xfId="7681" xr:uid="{00000000-0005-0000-0000-0000BF150000}"/>
    <cellStyle name="Style 934 2" xfId="517" xr:uid="{00000000-0005-0000-0000-0000C0150000}"/>
    <cellStyle name="Style 934 2 2" xfId="990" xr:uid="{00000000-0005-0000-0000-0000C1150000}"/>
    <cellStyle name="Style 934 2 2 2" xfId="8816" xr:uid="{EFD54297-8881-4108-B244-7F24B69AF8AF}"/>
    <cellStyle name="Style 934 2 3" xfId="8815" xr:uid="{8D3880CA-9E3E-4FB0-9529-C7F20859C744}"/>
    <cellStyle name="Style 934 3" xfId="751" xr:uid="{00000000-0005-0000-0000-0000C2150000}"/>
    <cellStyle name="Style 934 3 2" xfId="1224" xr:uid="{00000000-0005-0000-0000-0000C3150000}"/>
    <cellStyle name="Style 934 3 3" xfId="8817" xr:uid="{A5F3BF7F-9385-4059-8AD9-0838172BB9C9}"/>
    <cellStyle name="Style 934 4" xfId="1464" xr:uid="{00000000-0005-0000-0000-0000C4150000}"/>
    <cellStyle name="Style 934 4 2" xfId="3448" xr:uid="{00000000-0005-0000-0000-0000C5150000}"/>
    <cellStyle name="Style 934 4 3" xfId="8818" xr:uid="{78B53B69-5E13-4795-B9C4-4C98CD270E15}"/>
    <cellStyle name="Style 934 5" xfId="1759" xr:uid="{00000000-0005-0000-0000-0000C6150000}"/>
    <cellStyle name="Style 934 5 2" xfId="3686" xr:uid="{00000000-0005-0000-0000-0000C7150000}"/>
    <cellStyle name="Style 934 6" xfId="2010" xr:uid="{00000000-0005-0000-0000-0000C8150000}"/>
    <cellStyle name="Style 934 6 2" xfId="3920" xr:uid="{00000000-0005-0000-0000-0000C9150000}"/>
    <cellStyle name="Style 934 7" xfId="2254" xr:uid="{00000000-0005-0000-0000-0000CA150000}"/>
    <cellStyle name="Style 934 7 2" xfId="4155" xr:uid="{00000000-0005-0000-0000-0000CB150000}"/>
    <cellStyle name="Style 934 8" xfId="2489" xr:uid="{00000000-0005-0000-0000-0000CC150000}"/>
    <cellStyle name="Style 934 8 2" xfId="4390" xr:uid="{00000000-0005-0000-0000-0000CD150000}"/>
    <cellStyle name="Style 934 9" xfId="2736" xr:uid="{00000000-0005-0000-0000-0000CE150000}"/>
    <cellStyle name="Style 934 9 2" xfId="4625" xr:uid="{00000000-0005-0000-0000-0000CF150000}"/>
    <cellStyle name="Style 935" xfId="284" xr:uid="{00000000-0005-0000-0000-0000D0150000}"/>
    <cellStyle name="Style 935 10" xfId="2971" xr:uid="{00000000-0005-0000-0000-0000D1150000}"/>
    <cellStyle name="Style 935 10 2" xfId="4860" xr:uid="{00000000-0005-0000-0000-0000D2150000}"/>
    <cellStyle name="Style 935 11" xfId="3208" xr:uid="{00000000-0005-0000-0000-0000D3150000}"/>
    <cellStyle name="Style 935 11 2" xfId="5094" xr:uid="{00000000-0005-0000-0000-0000D4150000}"/>
    <cellStyle name="Style 935 12" xfId="5330" xr:uid="{00000000-0005-0000-0000-0000D5150000}"/>
    <cellStyle name="Style 935 12 2" xfId="6790" xr:uid="{00000000-0005-0000-0000-0000D5150000}"/>
    <cellStyle name="Style 935 13" xfId="5547" xr:uid="{00000000-0005-0000-0000-0000D6150000}"/>
    <cellStyle name="Style 935 13 2" xfId="6971" xr:uid="{00000000-0005-0000-0000-0000D6150000}"/>
    <cellStyle name="Style 935 14" xfId="5913" xr:uid="{00000000-0005-0000-0000-0000D7150000}"/>
    <cellStyle name="Style 935 14 2" xfId="7333" xr:uid="{00000000-0005-0000-0000-0000D7150000}"/>
    <cellStyle name="Style 935 15" xfId="6404" xr:uid="{00000000-0005-0000-0000-0000D8150000}"/>
    <cellStyle name="Style 935 15 2" xfId="7682" xr:uid="{00000000-0005-0000-0000-0000D8150000}"/>
    <cellStyle name="Style 935 2" xfId="518" xr:uid="{00000000-0005-0000-0000-0000D9150000}"/>
    <cellStyle name="Style 935 2 2" xfId="991" xr:uid="{00000000-0005-0000-0000-0000DA150000}"/>
    <cellStyle name="Style 935 2 2 2" xfId="8820" xr:uid="{B80EFE7B-448F-48E5-B2D6-44CF9C83270F}"/>
    <cellStyle name="Style 935 2 3" xfId="8819" xr:uid="{31AAFD9A-5AB2-4186-86FB-A5CA84A1303F}"/>
    <cellStyle name="Style 935 3" xfId="752" xr:uid="{00000000-0005-0000-0000-0000DB150000}"/>
    <cellStyle name="Style 935 3 2" xfId="1225" xr:uid="{00000000-0005-0000-0000-0000DC150000}"/>
    <cellStyle name="Style 935 3 3" xfId="8821" xr:uid="{2C90BFFD-901F-4607-8EBE-37EEA9DDDEA0}"/>
    <cellStyle name="Style 935 4" xfId="1465" xr:uid="{00000000-0005-0000-0000-0000DD150000}"/>
    <cellStyle name="Style 935 4 2" xfId="3449" xr:uid="{00000000-0005-0000-0000-0000DE150000}"/>
    <cellStyle name="Style 935 4 3" xfId="8822" xr:uid="{6D91FCE6-5D6D-4B69-9F1E-4F88CEA79B63}"/>
    <cellStyle name="Style 935 5" xfId="1760" xr:uid="{00000000-0005-0000-0000-0000DF150000}"/>
    <cellStyle name="Style 935 5 2" xfId="3687" xr:uid="{00000000-0005-0000-0000-0000E0150000}"/>
    <cellStyle name="Style 935 6" xfId="2011" xr:uid="{00000000-0005-0000-0000-0000E1150000}"/>
    <cellStyle name="Style 935 6 2" xfId="3921" xr:uid="{00000000-0005-0000-0000-0000E2150000}"/>
    <cellStyle name="Style 935 7" xfId="2255" xr:uid="{00000000-0005-0000-0000-0000E3150000}"/>
    <cellStyle name="Style 935 7 2" xfId="4156" xr:uid="{00000000-0005-0000-0000-0000E4150000}"/>
    <cellStyle name="Style 935 8" xfId="2490" xr:uid="{00000000-0005-0000-0000-0000E5150000}"/>
    <cellStyle name="Style 935 8 2" xfId="4391" xr:uid="{00000000-0005-0000-0000-0000E6150000}"/>
    <cellStyle name="Style 935 9" xfId="2737" xr:uid="{00000000-0005-0000-0000-0000E7150000}"/>
    <cellStyle name="Style 935 9 2" xfId="4626" xr:uid="{00000000-0005-0000-0000-0000E8150000}"/>
    <cellStyle name="Style 936" xfId="285" xr:uid="{00000000-0005-0000-0000-0000E9150000}"/>
    <cellStyle name="Style 936 10" xfId="2972" xr:uid="{00000000-0005-0000-0000-0000EA150000}"/>
    <cellStyle name="Style 936 10 2" xfId="4861" xr:uid="{00000000-0005-0000-0000-0000EB150000}"/>
    <cellStyle name="Style 936 11" xfId="3209" xr:uid="{00000000-0005-0000-0000-0000EC150000}"/>
    <cellStyle name="Style 936 11 2" xfId="5095" xr:uid="{00000000-0005-0000-0000-0000ED150000}"/>
    <cellStyle name="Style 936 12" xfId="5331" xr:uid="{00000000-0005-0000-0000-0000EE150000}"/>
    <cellStyle name="Style 936 12 2" xfId="6791" xr:uid="{00000000-0005-0000-0000-0000EE150000}"/>
    <cellStyle name="Style 936 13" xfId="5548" xr:uid="{00000000-0005-0000-0000-0000EF150000}"/>
    <cellStyle name="Style 936 13 2" xfId="6972" xr:uid="{00000000-0005-0000-0000-0000EF150000}"/>
    <cellStyle name="Style 936 14" xfId="5914" xr:uid="{00000000-0005-0000-0000-0000F0150000}"/>
    <cellStyle name="Style 936 14 2" xfId="7334" xr:uid="{00000000-0005-0000-0000-0000F0150000}"/>
    <cellStyle name="Style 936 15" xfId="6405" xr:uid="{00000000-0005-0000-0000-0000F1150000}"/>
    <cellStyle name="Style 936 15 2" xfId="7683" xr:uid="{00000000-0005-0000-0000-0000F1150000}"/>
    <cellStyle name="Style 936 2" xfId="519" xr:uid="{00000000-0005-0000-0000-0000F2150000}"/>
    <cellStyle name="Style 936 2 2" xfId="992" xr:uid="{00000000-0005-0000-0000-0000F3150000}"/>
    <cellStyle name="Style 936 2 2 2" xfId="8824" xr:uid="{B632412C-6325-4CC8-BF73-4AC0241A3B29}"/>
    <cellStyle name="Style 936 2 3" xfId="8823" xr:uid="{45624FAF-30D3-445E-A94A-FD8B16C3050E}"/>
    <cellStyle name="Style 936 3" xfId="753" xr:uid="{00000000-0005-0000-0000-0000F4150000}"/>
    <cellStyle name="Style 936 3 2" xfId="1226" xr:uid="{00000000-0005-0000-0000-0000F5150000}"/>
    <cellStyle name="Style 936 3 3" xfId="8825" xr:uid="{14776453-7887-4664-8B0D-14890992BE63}"/>
    <cellStyle name="Style 936 4" xfId="1466" xr:uid="{00000000-0005-0000-0000-0000F6150000}"/>
    <cellStyle name="Style 936 4 2" xfId="3450" xr:uid="{00000000-0005-0000-0000-0000F7150000}"/>
    <cellStyle name="Style 936 4 3" xfId="8826" xr:uid="{9F242566-C2CD-4D50-AAAC-6608555766D0}"/>
    <cellStyle name="Style 936 5" xfId="1761" xr:uid="{00000000-0005-0000-0000-0000F8150000}"/>
    <cellStyle name="Style 936 5 2" xfId="3688" xr:uid="{00000000-0005-0000-0000-0000F9150000}"/>
    <cellStyle name="Style 936 6" xfId="2012" xr:uid="{00000000-0005-0000-0000-0000FA150000}"/>
    <cellStyle name="Style 936 6 2" xfId="3922" xr:uid="{00000000-0005-0000-0000-0000FB150000}"/>
    <cellStyle name="Style 936 7" xfId="2256" xr:uid="{00000000-0005-0000-0000-0000FC150000}"/>
    <cellStyle name="Style 936 7 2" xfId="4157" xr:uid="{00000000-0005-0000-0000-0000FD150000}"/>
    <cellStyle name="Style 936 8" xfId="2491" xr:uid="{00000000-0005-0000-0000-0000FE150000}"/>
    <cellStyle name="Style 936 8 2" xfId="4392" xr:uid="{00000000-0005-0000-0000-0000FF150000}"/>
    <cellStyle name="Style 936 9" xfId="2738" xr:uid="{00000000-0005-0000-0000-000000160000}"/>
    <cellStyle name="Style 936 9 2" xfId="4627" xr:uid="{00000000-0005-0000-0000-000001160000}"/>
    <cellStyle name="Style 937" xfId="286" xr:uid="{00000000-0005-0000-0000-000002160000}"/>
    <cellStyle name="Style 937 10" xfId="2973" xr:uid="{00000000-0005-0000-0000-000003160000}"/>
    <cellStyle name="Style 937 10 2" xfId="4862" xr:uid="{00000000-0005-0000-0000-000004160000}"/>
    <cellStyle name="Style 937 11" xfId="3210" xr:uid="{00000000-0005-0000-0000-000005160000}"/>
    <cellStyle name="Style 937 11 2" xfId="5096" xr:uid="{00000000-0005-0000-0000-000006160000}"/>
    <cellStyle name="Style 937 12" xfId="5332" xr:uid="{00000000-0005-0000-0000-000007160000}"/>
    <cellStyle name="Style 937 12 2" xfId="6792" xr:uid="{00000000-0005-0000-0000-000007160000}"/>
    <cellStyle name="Style 937 13" xfId="5549" xr:uid="{00000000-0005-0000-0000-000008160000}"/>
    <cellStyle name="Style 937 13 2" xfId="6973" xr:uid="{00000000-0005-0000-0000-000008160000}"/>
    <cellStyle name="Style 937 14" xfId="5915" xr:uid="{00000000-0005-0000-0000-000009160000}"/>
    <cellStyle name="Style 937 14 2" xfId="7335" xr:uid="{00000000-0005-0000-0000-000009160000}"/>
    <cellStyle name="Style 937 15" xfId="6406" xr:uid="{00000000-0005-0000-0000-00000A160000}"/>
    <cellStyle name="Style 937 15 2" xfId="7684" xr:uid="{00000000-0005-0000-0000-00000A160000}"/>
    <cellStyle name="Style 937 2" xfId="520" xr:uid="{00000000-0005-0000-0000-00000B160000}"/>
    <cellStyle name="Style 937 2 2" xfId="993" xr:uid="{00000000-0005-0000-0000-00000C160000}"/>
    <cellStyle name="Style 937 2 2 2" xfId="8828" xr:uid="{EBC27281-81FB-4F12-B294-C6A1A463B8D5}"/>
    <cellStyle name="Style 937 2 3" xfId="8827" xr:uid="{9DB0BBF4-5D3B-4A11-8F2A-6A0D090B1E62}"/>
    <cellStyle name="Style 937 3" xfId="754" xr:uid="{00000000-0005-0000-0000-00000D160000}"/>
    <cellStyle name="Style 937 3 2" xfId="1227" xr:uid="{00000000-0005-0000-0000-00000E160000}"/>
    <cellStyle name="Style 937 3 3" xfId="8829" xr:uid="{68910D4E-BD87-4D63-ACFE-8D814E6B87B2}"/>
    <cellStyle name="Style 937 4" xfId="1467" xr:uid="{00000000-0005-0000-0000-00000F160000}"/>
    <cellStyle name="Style 937 4 2" xfId="3451" xr:uid="{00000000-0005-0000-0000-000010160000}"/>
    <cellStyle name="Style 937 4 3" xfId="8830" xr:uid="{F7124FA0-F1E0-4A76-889C-52C68DB7BE69}"/>
    <cellStyle name="Style 937 5" xfId="1762" xr:uid="{00000000-0005-0000-0000-000011160000}"/>
    <cellStyle name="Style 937 5 2" xfId="3689" xr:uid="{00000000-0005-0000-0000-000012160000}"/>
    <cellStyle name="Style 937 6" xfId="2013" xr:uid="{00000000-0005-0000-0000-000013160000}"/>
    <cellStyle name="Style 937 6 2" xfId="3923" xr:uid="{00000000-0005-0000-0000-000014160000}"/>
    <cellStyle name="Style 937 7" xfId="2257" xr:uid="{00000000-0005-0000-0000-000015160000}"/>
    <cellStyle name="Style 937 7 2" xfId="4158" xr:uid="{00000000-0005-0000-0000-000016160000}"/>
    <cellStyle name="Style 937 8" xfId="2492" xr:uid="{00000000-0005-0000-0000-000017160000}"/>
    <cellStyle name="Style 937 8 2" xfId="4393" xr:uid="{00000000-0005-0000-0000-000018160000}"/>
    <cellStyle name="Style 937 9" xfId="2739" xr:uid="{00000000-0005-0000-0000-000019160000}"/>
    <cellStyle name="Style 937 9 2" xfId="4628" xr:uid="{00000000-0005-0000-0000-00001A160000}"/>
    <cellStyle name="Style 942" xfId="287" xr:uid="{00000000-0005-0000-0000-00001B160000}"/>
    <cellStyle name="Style 942 10" xfId="2974" xr:uid="{00000000-0005-0000-0000-00001C160000}"/>
    <cellStyle name="Style 942 10 2" xfId="4863" xr:uid="{00000000-0005-0000-0000-00001D160000}"/>
    <cellStyle name="Style 942 11" xfId="3211" xr:uid="{00000000-0005-0000-0000-00001E160000}"/>
    <cellStyle name="Style 942 11 2" xfId="5097" xr:uid="{00000000-0005-0000-0000-00001F160000}"/>
    <cellStyle name="Style 942 12" xfId="5333" xr:uid="{00000000-0005-0000-0000-000020160000}"/>
    <cellStyle name="Style 942 12 2" xfId="6793" xr:uid="{00000000-0005-0000-0000-000020160000}"/>
    <cellStyle name="Style 942 13" xfId="5550" xr:uid="{00000000-0005-0000-0000-000021160000}"/>
    <cellStyle name="Style 942 13 2" xfId="6974" xr:uid="{00000000-0005-0000-0000-000021160000}"/>
    <cellStyle name="Style 942 14" xfId="5916" xr:uid="{00000000-0005-0000-0000-000022160000}"/>
    <cellStyle name="Style 942 14 2" xfId="7336" xr:uid="{00000000-0005-0000-0000-000022160000}"/>
    <cellStyle name="Style 942 15" xfId="6407" xr:uid="{00000000-0005-0000-0000-000023160000}"/>
    <cellStyle name="Style 942 15 2" xfId="7685" xr:uid="{00000000-0005-0000-0000-000023160000}"/>
    <cellStyle name="Style 942 2" xfId="521" xr:uid="{00000000-0005-0000-0000-000024160000}"/>
    <cellStyle name="Style 942 2 2" xfId="994" xr:uid="{00000000-0005-0000-0000-000025160000}"/>
    <cellStyle name="Style 942 2 2 2" xfId="8832" xr:uid="{FF9B31A9-55BE-4922-B2CA-ED93AB5F1204}"/>
    <cellStyle name="Style 942 2 3" xfId="8831" xr:uid="{29B9BBE3-24F6-46CC-AE32-61570CA03DDD}"/>
    <cellStyle name="Style 942 3" xfId="755" xr:uid="{00000000-0005-0000-0000-000026160000}"/>
    <cellStyle name="Style 942 3 2" xfId="1228" xr:uid="{00000000-0005-0000-0000-000027160000}"/>
    <cellStyle name="Style 942 3 3" xfId="8833" xr:uid="{FB499C92-0E1B-4840-B52F-D7855B79DBE5}"/>
    <cellStyle name="Style 942 4" xfId="1468" xr:uid="{00000000-0005-0000-0000-000028160000}"/>
    <cellStyle name="Style 942 4 2" xfId="3452" xr:uid="{00000000-0005-0000-0000-000029160000}"/>
    <cellStyle name="Style 942 4 3" xfId="8834" xr:uid="{5F9E4884-F2C7-4C4A-8DD9-CE914F13DFEE}"/>
    <cellStyle name="Style 942 5" xfId="1763" xr:uid="{00000000-0005-0000-0000-00002A160000}"/>
    <cellStyle name="Style 942 5 2" xfId="3690" xr:uid="{00000000-0005-0000-0000-00002B160000}"/>
    <cellStyle name="Style 942 6" xfId="2014" xr:uid="{00000000-0005-0000-0000-00002C160000}"/>
    <cellStyle name="Style 942 6 2" xfId="3924" xr:uid="{00000000-0005-0000-0000-00002D160000}"/>
    <cellStyle name="Style 942 7" xfId="2258" xr:uid="{00000000-0005-0000-0000-00002E160000}"/>
    <cellStyle name="Style 942 7 2" xfId="4159" xr:uid="{00000000-0005-0000-0000-00002F160000}"/>
    <cellStyle name="Style 942 8" xfId="2493" xr:uid="{00000000-0005-0000-0000-000030160000}"/>
    <cellStyle name="Style 942 8 2" xfId="4394" xr:uid="{00000000-0005-0000-0000-000031160000}"/>
    <cellStyle name="Style 942 9" xfId="2740" xr:uid="{00000000-0005-0000-0000-000032160000}"/>
    <cellStyle name="Style 942 9 2" xfId="4629" xr:uid="{00000000-0005-0000-0000-000033160000}"/>
    <cellStyle name="Style 943" xfId="288" xr:uid="{00000000-0005-0000-0000-000034160000}"/>
    <cellStyle name="Style 943 10" xfId="2975" xr:uid="{00000000-0005-0000-0000-000035160000}"/>
    <cellStyle name="Style 943 10 2" xfId="4864" xr:uid="{00000000-0005-0000-0000-000036160000}"/>
    <cellStyle name="Style 943 11" xfId="3212" xr:uid="{00000000-0005-0000-0000-000037160000}"/>
    <cellStyle name="Style 943 11 2" xfId="5098" xr:uid="{00000000-0005-0000-0000-000038160000}"/>
    <cellStyle name="Style 943 12" xfId="5334" xr:uid="{00000000-0005-0000-0000-000039160000}"/>
    <cellStyle name="Style 943 12 2" xfId="6794" xr:uid="{00000000-0005-0000-0000-000039160000}"/>
    <cellStyle name="Style 943 13" xfId="5551" xr:uid="{00000000-0005-0000-0000-00003A160000}"/>
    <cellStyle name="Style 943 13 2" xfId="6975" xr:uid="{00000000-0005-0000-0000-00003A160000}"/>
    <cellStyle name="Style 943 14" xfId="5917" xr:uid="{00000000-0005-0000-0000-00003B160000}"/>
    <cellStyle name="Style 943 14 2" xfId="7337" xr:uid="{00000000-0005-0000-0000-00003B160000}"/>
    <cellStyle name="Style 943 15" xfId="6408" xr:uid="{00000000-0005-0000-0000-00003C160000}"/>
    <cellStyle name="Style 943 15 2" xfId="7686" xr:uid="{00000000-0005-0000-0000-00003C160000}"/>
    <cellStyle name="Style 943 2" xfId="522" xr:uid="{00000000-0005-0000-0000-00003D160000}"/>
    <cellStyle name="Style 943 2 2" xfId="995" xr:uid="{00000000-0005-0000-0000-00003E160000}"/>
    <cellStyle name="Style 943 2 2 2" xfId="8836" xr:uid="{BADC9F85-3F82-40F8-AB80-FB6A55EDC184}"/>
    <cellStyle name="Style 943 2 3" xfId="8835" xr:uid="{8EFDF071-2964-4CFF-BAB9-754146349D5E}"/>
    <cellStyle name="Style 943 3" xfId="756" xr:uid="{00000000-0005-0000-0000-00003F160000}"/>
    <cellStyle name="Style 943 3 2" xfId="1229" xr:uid="{00000000-0005-0000-0000-000040160000}"/>
    <cellStyle name="Style 943 3 3" xfId="8837" xr:uid="{3D7CF23B-EDC1-4294-9BC2-0BB5FC26854D}"/>
    <cellStyle name="Style 943 4" xfId="1469" xr:uid="{00000000-0005-0000-0000-000041160000}"/>
    <cellStyle name="Style 943 4 2" xfId="3453" xr:uid="{00000000-0005-0000-0000-000042160000}"/>
    <cellStyle name="Style 943 4 3" xfId="8838" xr:uid="{A682AAA3-D648-4CD2-813F-528EAEDB1BCD}"/>
    <cellStyle name="Style 943 5" xfId="1764" xr:uid="{00000000-0005-0000-0000-000043160000}"/>
    <cellStyle name="Style 943 5 2" xfId="3691" xr:uid="{00000000-0005-0000-0000-000044160000}"/>
    <cellStyle name="Style 943 6" xfId="2015" xr:uid="{00000000-0005-0000-0000-000045160000}"/>
    <cellStyle name="Style 943 6 2" xfId="3925" xr:uid="{00000000-0005-0000-0000-000046160000}"/>
    <cellStyle name="Style 943 7" xfId="2259" xr:uid="{00000000-0005-0000-0000-000047160000}"/>
    <cellStyle name="Style 943 7 2" xfId="4160" xr:uid="{00000000-0005-0000-0000-000048160000}"/>
    <cellStyle name="Style 943 8" xfId="2494" xr:uid="{00000000-0005-0000-0000-000049160000}"/>
    <cellStyle name="Style 943 8 2" xfId="4395" xr:uid="{00000000-0005-0000-0000-00004A160000}"/>
    <cellStyle name="Style 943 9" xfId="2741" xr:uid="{00000000-0005-0000-0000-00004B160000}"/>
    <cellStyle name="Style 943 9 2" xfId="4630" xr:uid="{00000000-0005-0000-0000-00004C160000}"/>
    <cellStyle name="Style 944" xfId="289" xr:uid="{00000000-0005-0000-0000-00004D160000}"/>
    <cellStyle name="Style 944 10" xfId="2976" xr:uid="{00000000-0005-0000-0000-00004E160000}"/>
    <cellStyle name="Style 944 10 2" xfId="4865" xr:uid="{00000000-0005-0000-0000-00004F160000}"/>
    <cellStyle name="Style 944 11" xfId="3213" xr:uid="{00000000-0005-0000-0000-000050160000}"/>
    <cellStyle name="Style 944 11 2" xfId="5099" xr:uid="{00000000-0005-0000-0000-000051160000}"/>
    <cellStyle name="Style 944 12" xfId="5335" xr:uid="{00000000-0005-0000-0000-000052160000}"/>
    <cellStyle name="Style 944 12 2" xfId="6795" xr:uid="{00000000-0005-0000-0000-000052160000}"/>
    <cellStyle name="Style 944 13" xfId="5552" xr:uid="{00000000-0005-0000-0000-000053160000}"/>
    <cellStyle name="Style 944 13 2" xfId="6976" xr:uid="{00000000-0005-0000-0000-000053160000}"/>
    <cellStyle name="Style 944 14" xfId="5918" xr:uid="{00000000-0005-0000-0000-000054160000}"/>
    <cellStyle name="Style 944 14 2" xfId="7338" xr:uid="{00000000-0005-0000-0000-000054160000}"/>
    <cellStyle name="Style 944 15" xfId="6409" xr:uid="{00000000-0005-0000-0000-000055160000}"/>
    <cellStyle name="Style 944 15 2" xfId="7687" xr:uid="{00000000-0005-0000-0000-000055160000}"/>
    <cellStyle name="Style 944 2" xfId="523" xr:uid="{00000000-0005-0000-0000-000056160000}"/>
    <cellStyle name="Style 944 2 2" xfId="996" xr:uid="{00000000-0005-0000-0000-000057160000}"/>
    <cellStyle name="Style 944 2 2 2" xfId="8840" xr:uid="{0F105760-74E1-46E3-A21E-0C2A2A0ADA0B}"/>
    <cellStyle name="Style 944 2 3" xfId="8839" xr:uid="{3D63DD1A-AEAA-46C2-B429-C1E49A198CA6}"/>
    <cellStyle name="Style 944 3" xfId="757" xr:uid="{00000000-0005-0000-0000-000058160000}"/>
    <cellStyle name="Style 944 3 2" xfId="1230" xr:uid="{00000000-0005-0000-0000-000059160000}"/>
    <cellStyle name="Style 944 3 3" xfId="8841" xr:uid="{72190084-F928-4356-8B1C-C5332EE3AE72}"/>
    <cellStyle name="Style 944 4" xfId="1470" xr:uid="{00000000-0005-0000-0000-00005A160000}"/>
    <cellStyle name="Style 944 4 2" xfId="3454" xr:uid="{00000000-0005-0000-0000-00005B160000}"/>
    <cellStyle name="Style 944 4 3" xfId="8842" xr:uid="{6EA45A62-6B90-4D25-A613-CB7ED9668C9B}"/>
    <cellStyle name="Style 944 5" xfId="1765" xr:uid="{00000000-0005-0000-0000-00005C160000}"/>
    <cellStyle name="Style 944 5 2" xfId="3692" xr:uid="{00000000-0005-0000-0000-00005D160000}"/>
    <cellStyle name="Style 944 6" xfId="2016" xr:uid="{00000000-0005-0000-0000-00005E160000}"/>
    <cellStyle name="Style 944 6 2" xfId="3926" xr:uid="{00000000-0005-0000-0000-00005F160000}"/>
    <cellStyle name="Style 944 7" xfId="2260" xr:uid="{00000000-0005-0000-0000-000060160000}"/>
    <cellStyle name="Style 944 7 2" xfId="4161" xr:uid="{00000000-0005-0000-0000-000061160000}"/>
    <cellStyle name="Style 944 8" xfId="2495" xr:uid="{00000000-0005-0000-0000-000062160000}"/>
    <cellStyle name="Style 944 8 2" xfId="4396" xr:uid="{00000000-0005-0000-0000-000063160000}"/>
    <cellStyle name="Style 944 9" xfId="2742" xr:uid="{00000000-0005-0000-0000-000064160000}"/>
    <cellStyle name="Style 944 9 2" xfId="4631" xr:uid="{00000000-0005-0000-0000-000065160000}"/>
    <cellStyle name="Style 945" xfId="290" xr:uid="{00000000-0005-0000-0000-000066160000}"/>
    <cellStyle name="Style 945 10" xfId="2977" xr:uid="{00000000-0005-0000-0000-000067160000}"/>
    <cellStyle name="Style 945 10 2" xfId="4866" xr:uid="{00000000-0005-0000-0000-000068160000}"/>
    <cellStyle name="Style 945 11" xfId="3214" xr:uid="{00000000-0005-0000-0000-000069160000}"/>
    <cellStyle name="Style 945 11 2" xfId="5100" xr:uid="{00000000-0005-0000-0000-00006A160000}"/>
    <cellStyle name="Style 945 12" xfId="5336" xr:uid="{00000000-0005-0000-0000-00006B160000}"/>
    <cellStyle name="Style 945 12 2" xfId="6796" xr:uid="{00000000-0005-0000-0000-00006B160000}"/>
    <cellStyle name="Style 945 13" xfId="5553" xr:uid="{00000000-0005-0000-0000-00006C160000}"/>
    <cellStyle name="Style 945 13 2" xfId="6977" xr:uid="{00000000-0005-0000-0000-00006C160000}"/>
    <cellStyle name="Style 945 14" xfId="5919" xr:uid="{00000000-0005-0000-0000-00006D160000}"/>
    <cellStyle name="Style 945 14 2" xfId="7339" xr:uid="{00000000-0005-0000-0000-00006D160000}"/>
    <cellStyle name="Style 945 15" xfId="6410" xr:uid="{00000000-0005-0000-0000-00006E160000}"/>
    <cellStyle name="Style 945 15 2" xfId="7688" xr:uid="{00000000-0005-0000-0000-00006E160000}"/>
    <cellStyle name="Style 945 2" xfId="524" xr:uid="{00000000-0005-0000-0000-00006F160000}"/>
    <cellStyle name="Style 945 2 2" xfId="997" xr:uid="{00000000-0005-0000-0000-000070160000}"/>
    <cellStyle name="Style 945 2 2 2" xfId="8844" xr:uid="{C4BE2BB6-740C-412B-9F0E-A769FFACA2C3}"/>
    <cellStyle name="Style 945 2 3" xfId="8843" xr:uid="{C272BD38-37A3-4127-A9DB-290B564C6E8B}"/>
    <cellStyle name="Style 945 3" xfId="758" xr:uid="{00000000-0005-0000-0000-000071160000}"/>
    <cellStyle name="Style 945 3 2" xfId="1231" xr:uid="{00000000-0005-0000-0000-000072160000}"/>
    <cellStyle name="Style 945 3 3" xfId="8845" xr:uid="{34AACE1C-1D8D-4D72-AE86-23CFB460C487}"/>
    <cellStyle name="Style 945 4" xfId="1471" xr:uid="{00000000-0005-0000-0000-000073160000}"/>
    <cellStyle name="Style 945 4 2" xfId="3455" xr:uid="{00000000-0005-0000-0000-000074160000}"/>
    <cellStyle name="Style 945 4 3" xfId="8846" xr:uid="{C892E6D4-5FC4-4DE0-94FE-5876A5F0C539}"/>
    <cellStyle name="Style 945 5" xfId="1766" xr:uid="{00000000-0005-0000-0000-000075160000}"/>
    <cellStyle name="Style 945 5 2" xfId="3693" xr:uid="{00000000-0005-0000-0000-000076160000}"/>
    <cellStyle name="Style 945 6" xfId="2017" xr:uid="{00000000-0005-0000-0000-000077160000}"/>
    <cellStyle name="Style 945 6 2" xfId="3927" xr:uid="{00000000-0005-0000-0000-000078160000}"/>
    <cellStyle name="Style 945 7" xfId="2261" xr:uid="{00000000-0005-0000-0000-000079160000}"/>
    <cellStyle name="Style 945 7 2" xfId="4162" xr:uid="{00000000-0005-0000-0000-00007A160000}"/>
    <cellStyle name="Style 945 8" xfId="2496" xr:uid="{00000000-0005-0000-0000-00007B160000}"/>
    <cellStyle name="Style 945 8 2" xfId="4397" xr:uid="{00000000-0005-0000-0000-00007C160000}"/>
    <cellStyle name="Style 945 9" xfId="2743" xr:uid="{00000000-0005-0000-0000-00007D160000}"/>
    <cellStyle name="Style 945 9 2" xfId="4632" xr:uid="{00000000-0005-0000-0000-00007E160000}"/>
    <cellStyle name="Style 950" xfId="291" xr:uid="{00000000-0005-0000-0000-00007F160000}"/>
    <cellStyle name="Style 950 10" xfId="2978" xr:uid="{00000000-0005-0000-0000-000080160000}"/>
    <cellStyle name="Style 950 10 2" xfId="4867" xr:uid="{00000000-0005-0000-0000-000081160000}"/>
    <cellStyle name="Style 950 11" xfId="3215" xr:uid="{00000000-0005-0000-0000-000082160000}"/>
    <cellStyle name="Style 950 11 2" xfId="5101" xr:uid="{00000000-0005-0000-0000-000083160000}"/>
    <cellStyle name="Style 950 12" xfId="5337" xr:uid="{00000000-0005-0000-0000-000084160000}"/>
    <cellStyle name="Style 950 12 2" xfId="6797" xr:uid="{00000000-0005-0000-0000-000084160000}"/>
    <cellStyle name="Style 950 13" xfId="5554" xr:uid="{00000000-0005-0000-0000-000085160000}"/>
    <cellStyle name="Style 950 13 2" xfId="6978" xr:uid="{00000000-0005-0000-0000-000085160000}"/>
    <cellStyle name="Style 950 14" xfId="5920" xr:uid="{00000000-0005-0000-0000-000086160000}"/>
    <cellStyle name="Style 950 14 2" xfId="7340" xr:uid="{00000000-0005-0000-0000-000086160000}"/>
    <cellStyle name="Style 950 15" xfId="6411" xr:uid="{00000000-0005-0000-0000-000087160000}"/>
    <cellStyle name="Style 950 15 2" xfId="7689" xr:uid="{00000000-0005-0000-0000-000087160000}"/>
    <cellStyle name="Style 950 2" xfId="525" xr:uid="{00000000-0005-0000-0000-000088160000}"/>
    <cellStyle name="Style 950 2 2" xfId="998" xr:uid="{00000000-0005-0000-0000-000089160000}"/>
    <cellStyle name="Style 950 2 2 2" xfId="8848" xr:uid="{050E3DA7-50F0-46D1-ACA7-65FDEA6B723E}"/>
    <cellStyle name="Style 950 2 3" xfId="8847" xr:uid="{F688DF42-7BB4-45F4-96C2-B26FC9C0D378}"/>
    <cellStyle name="Style 950 3" xfId="759" xr:uid="{00000000-0005-0000-0000-00008A160000}"/>
    <cellStyle name="Style 950 3 2" xfId="1232" xr:uid="{00000000-0005-0000-0000-00008B160000}"/>
    <cellStyle name="Style 950 3 3" xfId="8849" xr:uid="{16F9E2FA-461B-4AF2-B32E-455F50B05237}"/>
    <cellStyle name="Style 950 4" xfId="1472" xr:uid="{00000000-0005-0000-0000-00008C160000}"/>
    <cellStyle name="Style 950 4 2" xfId="3456" xr:uid="{00000000-0005-0000-0000-00008D160000}"/>
    <cellStyle name="Style 950 4 3" xfId="8850" xr:uid="{55D16B72-C71F-4C17-9CA1-0721B4A83898}"/>
    <cellStyle name="Style 950 5" xfId="1767" xr:uid="{00000000-0005-0000-0000-00008E160000}"/>
    <cellStyle name="Style 950 5 2" xfId="3694" xr:uid="{00000000-0005-0000-0000-00008F160000}"/>
    <cellStyle name="Style 950 6" xfId="2018" xr:uid="{00000000-0005-0000-0000-000090160000}"/>
    <cellStyle name="Style 950 6 2" xfId="3928" xr:uid="{00000000-0005-0000-0000-000091160000}"/>
    <cellStyle name="Style 950 7" xfId="2262" xr:uid="{00000000-0005-0000-0000-000092160000}"/>
    <cellStyle name="Style 950 7 2" xfId="4163" xr:uid="{00000000-0005-0000-0000-000093160000}"/>
    <cellStyle name="Style 950 8" xfId="2497" xr:uid="{00000000-0005-0000-0000-000094160000}"/>
    <cellStyle name="Style 950 8 2" xfId="4398" xr:uid="{00000000-0005-0000-0000-000095160000}"/>
    <cellStyle name="Style 950 9" xfId="2744" xr:uid="{00000000-0005-0000-0000-000096160000}"/>
    <cellStyle name="Style 950 9 2" xfId="4633" xr:uid="{00000000-0005-0000-0000-000097160000}"/>
    <cellStyle name="Style 951" xfId="292" xr:uid="{00000000-0005-0000-0000-000098160000}"/>
    <cellStyle name="Style 951 10" xfId="2979" xr:uid="{00000000-0005-0000-0000-000099160000}"/>
    <cellStyle name="Style 951 10 2" xfId="4868" xr:uid="{00000000-0005-0000-0000-00009A160000}"/>
    <cellStyle name="Style 951 11" xfId="3216" xr:uid="{00000000-0005-0000-0000-00009B160000}"/>
    <cellStyle name="Style 951 11 2" xfId="5102" xr:uid="{00000000-0005-0000-0000-00009C160000}"/>
    <cellStyle name="Style 951 12" xfId="5338" xr:uid="{00000000-0005-0000-0000-00009D160000}"/>
    <cellStyle name="Style 951 12 2" xfId="6798" xr:uid="{00000000-0005-0000-0000-00009D160000}"/>
    <cellStyle name="Style 951 13" xfId="5555" xr:uid="{00000000-0005-0000-0000-00009E160000}"/>
    <cellStyle name="Style 951 13 2" xfId="6979" xr:uid="{00000000-0005-0000-0000-00009E160000}"/>
    <cellStyle name="Style 951 14" xfId="5921" xr:uid="{00000000-0005-0000-0000-00009F160000}"/>
    <cellStyle name="Style 951 14 2" xfId="7341" xr:uid="{00000000-0005-0000-0000-00009F160000}"/>
    <cellStyle name="Style 951 15" xfId="6412" xr:uid="{00000000-0005-0000-0000-0000A0160000}"/>
    <cellStyle name="Style 951 15 2" xfId="7690" xr:uid="{00000000-0005-0000-0000-0000A0160000}"/>
    <cellStyle name="Style 951 2" xfId="526" xr:uid="{00000000-0005-0000-0000-0000A1160000}"/>
    <cellStyle name="Style 951 2 2" xfId="999" xr:uid="{00000000-0005-0000-0000-0000A2160000}"/>
    <cellStyle name="Style 951 2 2 2" xfId="8852" xr:uid="{C6CDC397-8CB9-4127-A37D-85C51B01944F}"/>
    <cellStyle name="Style 951 2 3" xfId="8851" xr:uid="{40CDEE24-D6F8-43D3-B240-082487B869DB}"/>
    <cellStyle name="Style 951 3" xfId="760" xr:uid="{00000000-0005-0000-0000-0000A3160000}"/>
    <cellStyle name="Style 951 3 2" xfId="1233" xr:uid="{00000000-0005-0000-0000-0000A4160000}"/>
    <cellStyle name="Style 951 3 3" xfId="8853" xr:uid="{FB92D367-F60A-4C12-9641-0EAEC1614E30}"/>
    <cellStyle name="Style 951 4" xfId="1473" xr:uid="{00000000-0005-0000-0000-0000A5160000}"/>
    <cellStyle name="Style 951 4 2" xfId="3457" xr:uid="{00000000-0005-0000-0000-0000A6160000}"/>
    <cellStyle name="Style 951 4 3" xfId="8854" xr:uid="{86C65B30-5945-4417-9E03-2CFC6127B909}"/>
    <cellStyle name="Style 951 5" xfId="1768" xr:uid="{00000000-0005-0000-0000-0000A7160000}"/>
    <cellStyle name="Style 951 5 2" xfId="3695" xr:uid="{00000000-0005-0000-0000-0000A8160000}"/>
    <cellStyle name="Style 951 6" xfId="2019" xr:uid="{00000000-0005-0000-0000-0000A9160000}"/>
    <cellStyle name="Style 951 6 2" xfId="3929" xr:uid="{00000000-0005-0000-0000-0000AA160000}"/>
    <cellStyle name="Style 951 7" xfId="2263" xr:uid="{00000000-0005-0000-0000-0000AB160000}"/>
    <cellStyle name="Style 951 7 2" xfId="4164" xr:uid="{00000000-0005-0000-0000-0000AC160000}"/>
    <cellStyle name="Style 951 8" xfId="2498" xr:uid="{00000000-0005-0000-0000-0000AD160000}"/>
    <cellStyle name="Style 951 8 2" xfId="4399" xr:uid="{00000000-0005-0000-0000-0000AE160000}"/>
    <cellStyle name="Style 951 9" xfId="2745" xr:uid="{00000000-0005-0000-0000-0000AF160000}"/>
    <cellStyle name="Style 951 9 2" xfId="4634" xr:uid="{00000000-0005-0000-0000-0000B0160000}"/>
    <cellStyle name="Style 952" xfId="293" xr:uid="{00000000-0005-0000-0000-0000B1160000}"/>
    <cellStyle name="Style 952 10" xfId="2980" xr:uid="{00000000-0005-0000-0000-0000B2160000}"/>
    <cellStyle name="Style 952 10 2" xfId="4869" xr:uid="{00000000-0005-0000-0000-0000B3160000}"/>
    <cellStyle name="Style 952 11" xfId="3217" xr:uid="{00000000-0005-0000-0000-0000B4160000}"/>
    <cellStyle name="Style 952 11 2" xfId="5103" xr:uid="{00000000-0005-0000-0000-0000B5160000}"/>
    <cellStyle name="Style 952 12" xfId="5339" xr:uid="{00000000-0005-0000-0000-0000B6160000}"/>
    <cellStyle name="Style 952 12 2" xfId="6799" xr:uid="{00000000-0005-0000-0000-0000B6160000}"/>
    <cellStyle name="Style 952 13" xfId="5556" xr:uid="{00000000-0005-0000-0000-0000B7160000}"/>
    <cellStyle name="Style 952 13 2" xfId="6980" xr:uid="{00000000-0005-0000-0000-0000B7160000}"/>
    <cellStyle name="Style 952 14" xfId="5922" xr:uid="{00000000-0005-0000-0000-0000B8160000}"/>
    <cellStyle name="Style 952 14 2" xfId="7342" xr:uid="{00000000-0005-0000-0000-0000B8160000}"/>
    <cellStyle name="Style 952 15" xfId="6413" xr:uid="{00000000-0005-0000-0000-0000B9160000}"/>
    <cellStyle name="Style 952 15 2" xfId="7691" xr:uid="{00000000-0005-0000-0000-0000B9160000}"/>
    <cellStyle name="Style 952 2" xfId="527" xr:uid="{00000000-0005-0000-0000-0000BA160000}"/>
    <cellStyle name="Style 952 2 2" xfId="1000" xr:uid="{00000000-0005-0000-0000-0000BB160000}"/>
    <cellStyle name="Style 952 2 2 2" xfId="8856" xr:uid="{45D4C29C-8F8C-48B2-9B87-ACB8100C95FE}"/>
    <cellStyle name="Style 952 2 3" xfId="8855" xr:uid="{38D6414B-E282-4E6F-B747-24B7B7F1D435}"/>
    <cellStyle name="Style 952 3" xfId="761" xr:uid="{00000000-0005-0000-0000-0000BC160000}"/>
    <cellStyle name="Style 952 3 2" xfId="1234" xr:uid="{00000000-0005-0000-0000-0000BD160000}"/>
    <cellStyle name="Style 952 3 3" xfId="8857" xr:uid="{70C24401-4252-460C-A088-70B998CBA169}"/>
    <cellStyle name="Style 952 4" xfId="1474" xr:uid="{00000000-0005-0000-0000-0000BE160000}"/>
    <cellStyle name="Style 952 4 2" xfId="3458" xr:uid="{00000000-0005-0000-0000-0000BF160000}"/>
    <cellStyle name="Style 952 4 3" xfId="8858" xr:uid="{F8C4DC58-BC8E-40A6-9457-97BDEDF3013A}"/>
    <cellStyle name="Style 952 5" xfId="1769" xr:uid="{00000000-0005-0000-0000-0000C0160000}"/>
    <cellStyle name="Style 952 5 2" xfId="3696" xr:uid="{00000000-0005-0000-0000-0000C1160000}"/>
    <cellStyle name="Style 952 6" xfId="2020" xr:uid="{00000000-0005-0000-0000-0000C2160000}"/>
    <cellStyle name="Style 952 6 2" xfId="3930" xr:uid="{00000000-0005-0000-0000-0000C3160000}"/>
    <cellStyle name="Style 952 7" xfId="2264" xr:uid="{00000000-0005-0000-0000-0000C4160000}"/>
    <cellStyle name="Style 952 7 2" xfId="4165" xr:uid="{00000000-0005-0000-0000-0000C5160000}"/>
    <cellStyle name="Style 952 8" xfId="2499" xr:uid="{00000000-0005-0000-0000-0000C6160000}"/>
    <cellStyle name="Style 952 8 2" xfId="4400" xr:uid="{00000000-0005-0000-0000-0000C7160000}"/>
    <cellStyle name="Style 952 9" xfId="2746" xr:uid="{00000000-0005-0000-0000-0000C8160000}"/>
    <cellStyle name="Style 952 9 2" xfId="4635" xr:uid="{00000000-0005-0000-0000-0000C9160000}"/>
    <cellStyle name="Style 953" xfId="294" xr:uid="{00000000-0005-0000-0000-0000CA160000}"/>
    <cellStyle name="Style 953 10" xfId="2981" xr:uid="{00000000-0005-0000-0000-0000CB160000}"/>
    <cellStyle name="Style 953 10 2" xfId="4870" xr:uid="{00000000-0005-0000-0000-0000CC160000}"/>
    <cellStyle name="Style 953 11" xfId="3218" xr:uid="{00000000-0005-0000-0000-0000CD160000}"/>
    <cellStyle name="Style 953 11 2" xfId="5104" xr:uid="{00000000-0005-0000-0000-0000CE160000}"/>
    <cellStyle name="Style 953 12" xfId="5340" xr:uid="{00000000-0005-0000-0000-0000CF160000}"/>
    <cellStyle name="Style 953 12 2" xfId="6800" xr:uid="{00000000-0005-0000-0000-0000CF160000}"/>
    <cellStyle name="Style 953 13" xfId="5557" xr:uid="{00000000-0005-0000-0000-0000D0160000}"/>
    <cellStyle name="Style 953 13 2" xfId="6981" xr:uid="{00000000-0005-0000-0000-0000D0160000}"/>
    <cellStyle name="Style 953 14" xfId="5923" xr:uid="{00000000-0005-0000-0000-0000D1160000}"/>
    <cellStyle name="Style 953 14 2" xfId="7343" xr:uid="{00000000-0005-0000-0000-0000D1160000}"/>
    <cellStyle name="Style 953 15" xfId="6414" xr:uid="{00000000-0005-0000-0000-0000D2160000}"/>
    <cellStyle name="Style 953 15 2" xfId="7692" xr:uid="{00000000-0005-0000-0000-0000D2160000}"/>
    <cellStyle name="Style 953 2" xfId="528" xr:uid="{00000000-0005-0000-0000-0000D3160000}"/>
    <cellStyle name="Style 953 2 2" xfId="1001" xr:uid="{00000000-0005-0000-0000-0000D4160000}"/>
    <cellStyle name="Style 953 2 2 2" xfId="8860" xr:uid="{98203601-DAAA-4CEC-BF6B-CD763A5F3B1C}"/>
    <cellStyle name="Style 953 2 3" xfId="8859" xr:uid="{841A585F-E99F-4E01-8D61-5E38FB7BFA36}"/>
    <cellStyle name="Style 953 3" xfId="762" xr:uid="{00000000-0005-0000-0000-0000D5160000}"/>
    <cellStyle name="Style 953 3 2" xfId="1235" xr:uid="{00000000-0005-0000-0000-0000D6160000}"/>
    <cellStyle name="Style 953 3 3" xfId="8861" xr:uid="{0460390D-404B-4CA7-AC26-DCF42558A237}"/>
    <cellStyle name="Style 953 4" xfId="1475" xr:uid="{00000000-0005-0000-0000-0000D7160000}"/>
    <cellStyle name="Style 953 4 2" xfId="3459" xr:uid="{00000000-0005-0000-0000-0000D8160000}"/>
    <cellStyle name="Style 953 4 3" xfId="8862" xr:uid="{FDBD2028-DD1A-4989-95E0-17B70F00457F}"/>
    <cellStyle name="Style 953 5" xfId="1770" xr:uid="{00000000-0005-0000-0000-0000D9160000}"/>
    <cellStyle name="Style 953 5 2" xfId="3697" xr:uid="{00000000-0005-0000-0000-0000DA160000}"/>
    <cellStyle name="Style 953 6" xfId="2021" xr:uid="{00000000-0005-0000-0000-0000DB160000}"/>
    <cellStyle name="Style 953 6 2" xfId="3931" xr:uid="{00000000-0005-0000-0000-0000DC160000}"/>
    <cellStyle name="Style 953 7" xfId="2265" xr:uid="{00000000-0005-0000-0000-0000DD160000}"/>
    <cellStyle name="Style 953 7 2" xfId="4166" xr:uid="{00000000-0005-0000-0000-0000DE160000}"/>
    <cellStyle name="Style 953 8" xfId="2500" xr:uid="{00000000-0005-0000-0000-0000DF160000}"/>
    <cellStyle name="Style 953 8 2" xfId="4401" xr:uid="{00000000-0005-0000-0000-0000E0160000}"/>
    <cellStyle name="Style 953 9" xfId="2747" xr:uid="{00000000-0005-0000-0000-0000E1160000}"/>
    <cellStyle name="Style 953 9 2" xfId="4636" xr:uid="{00000000-0005-0000-0000-0000E2160000}"/>
    <cellStyle name="Style 958" xfId="295" xr:uid="{00000000-0005-0000-0000-0000E3160000}"/>
    <cellStyle name="Style 958 10" xfId="2982" xr:uid="{00000000-0005-0000-0000-0000E4160000}"/>
    <cellStyle name="Style 958 10 2" xfId="4871" xr:uid="{00000000-0005-0000-0000-0000E5160000}"/>
    <cellStyle name="Style 958 11" xfId="3219" xr:uid="{00000000-0005-0000-0000-0000E6160000}"/>
    <cellStyle name="Style 958 11 2" xfId="5105" xr:uid="{00000000-0005-0000-0000-0000E7160000}"/>
    <cellStyle name="Style 958 12" xfId="5341" xr:uid="{00000000-0005-0000-0000-0000E8160000}"/>
    <cellStyle name="Style 958 12 2" xfId="6801" xr:uid="{00000000-0005-0000-0000-0000E8160000}"/>
    <cellStyle name="Style 958 13" xfId="5558" xr:uid="{00000000-0005-0000-0000-0000E9160000}"/>
    <cellStyle name="Style 958 13 2" xfId="6982" xr:uid="{00000000-0005-0000-0000-0000E9160000}"/>
    <cellStyle name="Style 958 14" xfId="5924" xr:uid="{00000000-0005-0000-0000-0000EA160000}"/>
    <cellStyle name="Style 958 14 2" xfId="7344" xr:uid="{00000000-0005-0000-0000-0000EA160000}"/>
    <cellStyle name="Style 958 15" xfId="6415" xr:uid="{00000000-0005-0000-0000-0000EB160000}"/>
    <cellStyle name="Style 958 15 2" xfId="7693" xr:uid="{00000000-0005-0000-0000-0000EB160000}"/>
    <cellStyle name="Style 958 2" xfId="529" xr:uid="{00000000-0005-0000-0000-0000EC160000}"/>
    <cellStyle name="Style 958 2 2" xfId="1002" xr:uid="{00000000-0005-0000-0000-0000ED160000}"/>
    <cellStyle name="Style 958 2 2 2" xfId="8864" xr:uid="{BD697A2A-23B5-4594-98A4-EF54C1ECD439}"/>
    <cellStyle name="Style 958 2 3" xfId="8863" xr:uid="{E65FE07D-78F6-4298-A42E-8A60D34D9C26}"/>
    <cellStyle name="Style 958 3" xfId="763" xr:uid="{00000000-0005-0000-0000-0000EE160000}"/>
    <cellStyle name="Style 958 3 2" xfId="1236" xr:uid="{00000000-0005-0000-0000-0000EF160000}"/>
    <cellStyle name="Style 958 3 3" xfId="8865" xr:uid="{F74C441E-0E0D-4D6E-A752-2CD3D67858F9}"/>
    <cellStyle name="Style 958 4" xfId="1476" xr:uid="{00000000-0005-0000-0000-0000F0160000}"/>
    <cellStyle name="Style 958 4 2" xfId="3460" xr:uid="{00000000-0005-0000-0000-0000F1160000}"/>
    <cellStyle name="Style 958 4 3" xfId="8866" xr:uid="{4E14CB09-4440-419C-B0F2-790953AC2721}"/>
    <cellStyle name="Style 958 5" xfId="1771" xr:uid="{00000000-0005-0000-0000-0000F2160000}"/>
    <cellStyle name="Style 958 5 2" xfId="3698" xr:uid="{00000000-0005-0000-0000-0000F3160000}"/>
    <cellStyle name="Style 958 6" xfId="2022" xr:uid="{00000000-0005-0000-0000-0000F4160000}"/>
    <cellStyle name="Style 958 6 2" xfId="3932" xr:uid="{00000000-0005-0000-0000-0000F5160000}"/>
    <cellStyle name="Style 958 7" xfId="2266" xr:uid="{00000000-0005-0000-0000-0000F6160000}"/>
    <cellStyle name="Style 958 7 2" xfId="4167" xr:uid="{00000000-0005-0000-0000-0000F7160000}"/>
    <cellStyle name="Style 958 8" xfId="2501" xr:uid="{00000000-0005-0000-0000-0000F8160000}"/>
    <cellStyle name="Style 958 8 2" xfId="4402" xr:uid="{00000000-0005-0000-0000-0000F9160000}"/>
    <cellStyle name="Style 958 9" xfId="2748" xr:uid="{00000000-0005-0000-0000-0000FA160000}"/>
    <cellStyle name="Style 958 9 2" xfId="4637" xr:uid="{00000000-0005-0000-0000-0000FB160000}"/>
    <cellStyle name="Style 959" xfId="296" xr:uid="{00000000-0005-0000-0000-0000FC160000}"/>
    <cellStyle name="Style 959 10" xfId="2983" xr:uid="{00000000-0005-0000-0000-0000FD160000}"/>
    <cellStyle name="Style 959 10 2" xfId="4872" xr:uid="{00000000-0005-0000-0000-0000FE160000}"/>
    <cellStyle name="Style 959 11" xfId="3220" xr:uid="{00000000-0005-0000-0000-0000FF160000}"/>
    <cellStyle name="Style 959 11 2" xfId="5106" xr:uid="{00000000-0005-0000-0000-000000170000}"/>
    <cellStyle name="Style 959 12" xfId="5342" xr:uid="{00000000-0005-0000-0000-000001170000}"/>
    <cellStyle name="Style 959 12 2" xfId="6802" xr:uid="{00000000-0005-0000-0000-000001170000}"/>
    <cellStyle name="Style 959 13" xfId="5559" xr:uid="{00000000-0005-0000-0000-000002170000}"/>
    <cellStyle name="Style 959 13 2" xfId="6983" xr:uid="{00000000-0005-0000-0000-000002170000}"/>
    <cellStyle name="Style 959 14" xfId="5925" xr:uid="{00000000-0005-0000-0000-000003170000}"/>
    <cellStyle name="Style 959 14 2" xfId="7345" xr:uid="{00000000-0005-0000-0000-000003170000}"/>
    <cellStyle name="Style 959 15" xfId="6416" xr:uid="{00000000-0005-0000-0000-000004170000}"/>
    <cellStyle name="Style 959 15 2" xfId="7694" xr:uid="{00000000-0005-0000-0000-000004170000}"/>
    <cellStyle name="Style 959 2" xfId="530" xr:uid="{00000000-0005-0000-0000-000005170000}"/>
    <cellStyle name="Style 959 2 2" xfId="1003" xr:uid="{00000000-0005-0000-0000-000006170000}"/>
    <cellStyle name="Style 959 2 2 2" xfId="8868" xr:uid="{FD4E23A7-957C-4BBC-8754-E182D0F870C9}"/>
    <cellStyle name="Style 959 2 3" xfId="8867" xr:uid="{8D7F1B08-0C7D-4CC8-8E2A-BE9688DC6384}"/>
    <cellStyle name="Style 959 3" xfId="764" xr:uid="{00000000-0005-0000-0000-000007170000}"/>
    <cellStyle name="Style 959 3 2" xfId="1237" xr:uid="{00000000-0005-0000-0000-000008170000}"/>
    <cellStyle name="Style 959 3 3" xfId="8869" xr:uid="{140FF74C-24D3-460C-9DA8-BF83D7F535FF}"/>
    <cellStyle name="Style 959 4" xfId="1477" xr:uid="{00000000-0005-0000-0000-000009170000}"/>
    <cellStyle name="Style 959 4 2" xfId="3461" xr:uid="{00000000-0005-0000-0000-00000A170000}"/>
    <cellStyle name="Style 959 4 3" xfId="8870" xr:uid="{0EC30781-DAD4-4C90-8CCA-CF16D1EBFD81}"/>
    <cellStyle name="Style 959 5" xfId="1772" xr:uid="{00000000-0005-0000-0000-00000B170000}"/>
    <cellStyle name="Style 959 5 2" xfId="3699" xr:uid="{00000000-0005-0000-0000-00000C170000}"/>
    <cellStyle name="Style 959 6" xfId="2023" xr:uid="{00000000-0005-0000-0000-00000D170000}"/>
    <cellStyle name="Style 959 6 2" xfId="3933" xr:uid="{00000000-0005-0000-0000-00000E170000}"/>
    <cellStyle name="Style 959 7" xfId="2267" xr:uid="{00000000-0005-0000-0000-00000F170000}"/>
    <cellStyle name="Style 959 7 2" xfId="4168" xr:uid="{00000000-0005-0000-0000-000010170000}"/>
    <cellStyle name="Style 959 8" xfId="2502" xr:uid="{00000000-0005-0000-0000-000011170000}"/>
    <cellStyle name="Style 959 8 2" xfId="4403" xr:uid="{00000000-0005-0000-0000-000012170000}"/>
    <cellStyle name="Style 959 9" xfId="2749" xr:uid="{00000000-0005-0000-0000-000013170000}"/>
    <cellStyle name="Style 959 9 2" xfId="4638" xr:uid="{00000000-0005-0000-0000-000014170000}"/>
    <cellStyle name="Style 960" xfId="297" xr:uid="{00000000-0005-0000-0000-000015170000}"/>
    <cellStyle name="Style 960 10" xfId="2984" xr:uid="{00000000-0005-0000-0000-000016170000}"/>
    <cellStyle name="Style 960 10 2" xfId="4873" xr:uid="{00000000-0005-0000-0000-000017170000}"/>
    <cellStyle name="Style 960 11" xfId="3221" xr:uid="{00000000-0005-0000-0000-000018170000}"/>
    <cellStyle name="Style 960 11 2" xfId="5107" xr:uid="{00000000-0005-0000-0000-000019170000}"/>
    <cellStyle name="Style 960 12" xfId="5343" xr:uid="{00000000-0005-0000-0000-00001A170000}"/>
    <cellStyle name="Style 960 12 2" xfId="6803" xr:uid="{00000000-0005-0000-0000-00001A170000}"/>
    <cellStyle name="Style 960 13" xfId="5560" xr:uid="{00000000-0005-0000-0000-00001B170000}"/>
    <cellStyle name="Style 960 13 2" xfId="6984" xr:uid="{00000000-0005-0000-0000-00001B170000}"/>
    <cellStyle name="Style 960 14" xfId="5926" xr:uid="{00000000-0005-0000-0000-00001C170000}"/>
    <cellStyle name="Style 960 14 2" xfId="7346" xr:uid="{00000000-0005-0000-0000-00001C170000}"/>
    <cellStyle name="Style 960 15" xfId="6417" xr:uid="{00000000-0005-0000-0000-00001D170000}"/>
    <cellStyle name="Style 960 15 2" xfId="7695" xr:uid="{00000000-0005-0000-0000-00001D170000}"/>
    <cellStyle name="Style 960 2" xfId="531" xr:uid="{00000000-0005-0000-0000-00001E170000}"/>
    <cellStyle name="Style 960 2 2" xfId="1004" xr:uid="{00000000-0005-0000-0000-00001F170000}"/>
    <cellStyle name="Style 960 2 2 2" xfId="8872" xr:uid="{A498069B-7E56-4014-AAC2-5CFF8ED0B1D9}"/>
    <cellStyle name="Style 960 2 3" xfId="8871" xr:uid="{BB8A9152-202A-4F3C-BB9C-CA5C50E3B7E8}"/>
    <cellStyle name="Style 960 3" xfId="765" xr:uid="{00000000-0005-0000-0000-000020170000}"/>
    <cellStyle name="Style 960 3 2" xfId="1238" xr:uid="{00000000-0005-0000-0000-000021170000}"/>
    <cellStyle name="Style 960 3 3" xfId="8873" xr:uid="{8E17DF47-7A62-4662-A80C-2AB1F4B74AD2}"/>
    <cellStyle name="Style 960 4" xfId="1478" xr:uid="{00000000-0005-0000-0000-000022170000}"/>
    <cellStyle name="Style 960 4 2" xfId="3462" xr:uid="{00000000-0005-0000-0000-000023170000}"/>
    <cellStyle name="Style 960 4 3" xfId="8874" xr:uid="{22E579AE-54F7-4463-ACDE-95C7A7B8629A}"/>
    <cellStyle name="Style 960 5" xfId="1773" xr:uid="{00000000-0005-0000-0000-000024170000}"/>
    <cellStyle name="Style 960 5 2" xfId="3700" xr:uid="{00000000-0005-0000-0000-000025170000}"/>
    <cellStyle name="Style 960 6" xfId="2024" xr:uid="{00000000-0005-0000-0000-000026170000}"/>
    <cellStyle name="Style 960 6 2" xfId="3934" xr:uid="{00000000-0005-0000-0000-000027170000}"/>
    <cellStyle name="Style 960 7" xfId="2268" xr:uid="{00000000-0005-0000-0000-000028170000}"/>
    <cellStyle name="Style 960 7 2" xfId="4169" xr:uid="{00000000-0005-0000-0000-000029170000}"/>
    <cellStyle name="Style 960 8" xfId="2503" xr:uid="{00000000-0005-0000-0000-00002A170000}"/>
    <cellStyle name="Style 960 8 2" xfId="4404" xr:uid="{00000000-0005-0000-0000-00002B170000}"/>
    <cellStyle name="Style 960 9" xfId="2750" xr:uid="{00000000-0005-0000-0000-00002C170000}"/>
    <cellStyle name="Style 960 9 2" xfId="4639" xr:uid="{00000000-0005-0000-0000-00002D170000}"/>
    <cellStyle name="Style 961" xfId="298" xr:uid="{00000000-0005-0000-0000-00002E170000}"/>
    <cellStyle name="Style 961 10" xfId="2985" xr:uid="{00000000-0005-0000-0000-00002F170000}"/>
    <cellStyle name="Style 961 10 2" xfId="4874" xr:uid="{00000000-0005-0000-0000-000030170000}"/>
    <cellStyle name="Style 961 11" xfId="3222" xr:uid="{00000000-0005-0000-0000-000031170000}"/>
    <cellStyle name="Style 961 11 2" xfId="5108" xr:uid="{00000000-0005-0000-0000-000032170000}"/>
    <cellStyle name="Style 961 12" xfId="5344" xr:uid="{00000000-0005-0000-0000-000033170000}"/>
    <cellStyle name="Style 961 12 2" xfId="6804" xr:uid="{00000000-0005-0000-0000-000033170000}"/>
    <cellStyle name="Style 961 13" xfId="5561" xr:uid="{00000000-0005-0000-0000-000034170000}"/>
    <cellStyle name="Style 961 13 2" xfId="6985" xr:uid="{00000000-0005-0000-0000-000034170000}"/>
    <cellStyle name="Style 961 14" xfId="5927" xr:uid="{00000000-0005-0000-0000-000035170000}"/>
    <cellStyle name="Style 961 14 2" xfId="7347" xr:uid="{00000000-0005-0000-0000-000035170000}"/>
    <cellStyle name="Style 961 15" xfId="6418" xr:uid="{00000000-0005-0000-0000-000036170000}"/>
    <cellStyle name="Style 961 15 2" xfId="7696" xr:uid="{00000000-0005-0000-0000-000036170000}"/>
    <cellStyle name="Style 961 2" xfId="532" xr:uid="{00000000-0005-0000-0000-000037170000}"/>
    <cellStyle name="Style 961 2 2" xfId="1005" xr:uid="{00000000-0005-0000-0000-000038170000}"/>
    <cellStyle name="Style 961 2 2 2" xfId="8876" xr:uid="{55A7F312-2A00-4CA6-A192-95F7B80CC2B4}"/>
    <cellStyle name="Style 961 2 3" xfId="8875" xr:uid="{53881C0A-A7A1-4B1E-9863-4BCA6DACFDA3}"/>
    <cellStyle name="Style 961 3" xfId="766" xr:uid="{00000000-0005-0000-0000-000039170000}"/>
    <cellStyle name="Style 961 3 2" xfId="1239" xr:uid="{00000000-0005-0000-0000-00003A170000}"/>
    <cellStyle name="Style 961 3 3" xfId="8877" xr:uid="{EF445859-89A0-4C25-9B55-196A2F35252D}"/>
    <cellStyle name="Style 961 4" xfId="1479" xr:uid="{00000000-0005-0000-0000-00003B170000}"/>
    <cellStyle name="Style 961 4 2" xfId="3463" xr:uid="{00000000-0005-0000-0000-00003C170000}"/>
    <cellStyle name="Style 961 4 3" xfId="8878" xr:uid="{874693DB-4614-486F-BFA9-963F62807F5C}"/>
    <cellStyle name="Style 961 5" xfId="1774" xr:uid="{00000000-0005-0000-0000-00003D170000}"/>
    <cellStyle name="Style 961 5 2" xfId="3701" xr:uid="{00000000-0005-0000-0000-00003E170000}"/>
    <cellStyle name="Style 961 6" xfId="2025" xr:uid="{00000000-0005-0000-0000-00003F170000}"/>
    <cellStyle name="Style 961 6 2" xfId="3935" xr:uid="{00000000-0005-0000-0000-000040170000}"/>
    <cellStyle name="Style 961 7" xfId="2269" xr:uid="{00000000-0005-0000-0000-000041170000}"/>
    <cellStyle name="Style 961 7 2" xfId="4170" xr:uid="{00000000-0005-0000-0000-000042170000}"/>
    <cellStyle name="Style 961 8" xfId="2504" xr:uid="{00000000-0005-0000-0000-000043170000}"/>
    <cellStyle name="Style 961 8 2" xfId="4405" xr:uid="{00000000-0005-0000-0000-000044170000}"/>
    <cellStyle name="Style 961 9" xfId="2751" xr:uid="{00000000-0005-0000-0000-000045170000}"/>
    <cellStyle name="Style 961 9 2" xfId="4640" xr:uid="{00000000-0005-0000-0000-000046170000}"/>
    <cellStyle name="Style 966" xfId="299" xr:uid="{00000000-0005-0000-0000-000047170000}"/>
    <cellStyle name="Style 966 10" xfId="2986" xr:uid="{00000000-0005-0000-0000-000048170000}"/>
    <cellStyle name="Style 966 10 2" xfId="4875" xr:uid="{00000000-0005-0000-0000-000049170000}"/>
    <cellStyle name="Style 966 11" xfId="3223" xr:uid="{00000000-0005-0000-0000-00004A170000}"/>
    <cellStyle name="Style 966 11 2" xfId="5109" xr:uid="{00000000-0005-0000-0000-00004B170000}"/>
    <cellStyle name="Style 966 12" xfId="5345" xr:uid="{00000000-0005-0000-0000-00004C170000}"/>
    <cellStyle name="Style 966 12 2" xfId="6805" xr:uid="{00000000-0005-0000-0000-00004C170000}"/>
    <cellStyle name="Style 966 13" xfId="5562" xr:uid="{00000000-0005-0000-0000-00004D170000}"/>
    <cellStyle name="Style 966 13 2" xfId="6986" xr:uid="{00000000-0005-0000-0000-00004D170000}"/>
    <cellStyle name="Style 966 14" xfId="5928" xr:uid="{00000000-0005-0000-0000-00004E170000}"/>
    <cellStyle name="Style 966 14 2" xfId="7348" xr:uid="{00000000-0005-0000-0000-00004E170000}"/>
    <cellStyle name="Style 966 15" xfId="6419" xr:uid="{00000000-0005-0000-0000-00004F170000}"/>
    <cellStyle name="Style 966 15 2" xfId="7697" xr:uid="{00000000-0005-0000-0000-00004F170000}"/>
    <cellStyle name="Style 966 2" xfId="533" xr:uid="{00000000-0005-0000-0000-000050170000}"/>
    <cellStyle name="Style 966 2 2" xfId="1006" xr:uid="{00000000-0005-0000-0000-000051170000}"/>
    <cellStyle name="Style 966 2 2 2" xfId="8880" xr:uid="{5B4BDDF3-0AE9-4DBE-A9B9-91C65A2DC69F}"/>
    <cellStyle name="Style 966 2 3" xfId="8879" xr:uid="{4A2CEBF2-8ABF-4F08-BF82-7A52BCBC93A4}"/>
    <cellStyle name="Style 966 3" xfId="767" xr:uid="{00000000-0005-0000-0000-000052170000}"/>
    <cellStyle name="Style 966 3 2" xfId="1240" xr:uid="{00000000-0005-0000-0000-000053170000}"/>
    <cellStyle name="Style 966 3 3" xfId="8881" xr:uid="{28A3D5B8-84AA-4AA3-99ED-CA4977AA638D}"/>
    <cellStyle name="Style 966 4" xfId="1480" xr:uid="{00000000-0005-0000-0000-000054170000}"/>
    <cellStyle name="Style 966 4 2" xfId="3464" xr:uid="{00000000-0005-0000-0000-000055170000}"/>
    <cellStyle name="Style 966 4 3" xfId="8882" xr:uid="{C99E3864-BE65-4CC4-B802-862514A1062F}"/>
    <cellStyle name="Style 966 5" xfId="1775" xr:uid="{00000000-0005-0000-0000-000056170000}"/>
    <cellStyle name="Style 966 5 2" xfId="3702" xr:uid="{00000000-0005-0000-0000-000057170000}"/>
    <cellStyle name="Style 966 6" xfId="2026" xr:uid="{00000000-0005-0000-0000-000058170000}"/>
    <cellStyle name="Style 966 6 2" xfId="3936" xr:uid="{00000000-0005-0000-0000-000059170000}"/>
    <cellStyle name="Style 966 7" xfId="2270" xr:uid="{00000000-0005-0000-0000-00005A170000}"/>
    <cellStyle name="Style 966 7 2" xfId="4171" xr:uid="{00000000-0005-0000-0000-00005B170000}"/>
    <cellStyle name="Style 966 8" xfId="2505" xr:uid="{00000000-0005-0000-0000-00005C170000}"/>
    <cellStyle name="Style 966 8 2" xfId="4406" xr:uid="{00000000-0005-0000-0000-00005D170000}"/>
    <cellStyle name="Style 966 9" xfId="2752" xr:uid="{00000000-0005-0000-0000-00005E170000}"/>
    <cellStyle name="Style 966 9 2" xfId="4641" xr:uid="{00000000-0005-0000-0000-00005F170000}"/>
    <cellStyle name="Style 967" xfId="300" xr:uid="{00000000-0005-0000-0000-000060170000}"/>
    <cellStyle name="Style 967 10" xfId="2987" xr:uid="{00000000-0005-0000-0000-000061170000}"/>
    <cellStyle name="Style 967 10 2" xfId="4876" xr:uid="{00000000-0005-0000-0000-000062170000}"/>
    <cellStyle name="Style 967 11" xfId="3224" xr:uid="{00000000-0005-0000-0000-000063170000}"/>
    <cellStyle name="Style 967 11 2" xfId="5110" xr:uid="{00000000-0005-0000-0000-000064170000}"/>
    <cellStyle name="Style 967 12" xfId="5346" xr:uid="{00000000-0005-0000-0000-000065170000}"/>
    <cellStyle name="Style 967 12 2" xfId="6806" xr:uid="{00000000-0005-0000-0000-000065170000}"/>
    <cellStyle name="Style 967 13" xfId="5563" xr:uid="{00000000-0005-0000-0000-000066170000}"/>
    <cellStyle name="Style 967 13 2" xfId="6987" xr:uid="{00000000-0005-0000-0000-000066170000}"/>
    <cellStyle name="Style 967 14" xfId="5929" xr:uid="{00000000-0005-0000-0000-000067170000}"/>
    <cellStyle name="Style 967 14 2" xfId="7349" xr:uid="{00000000-0005-0000-0000-000067170000}"/>
    <cellStyle name="Style 967 15" xfId="6420" xr:uid="{00000000-0005-0000-0000-000068170000}"/>
    <cellStyle name="Style 967 15 2" xfId="7698" xr:uid="{00000000-0005-0000-0000-000068170000}"/>
    <cellStyle name="Style 967 2" xfId="534" xr:uid="{00000000-0005-0000-0000-000069170000}"/>
    <cellStyle name="Style 967 2 2" xfId="1007" xr:uid="{00000000-0005-0000-0000-00006A170000}"/>
    <cellStyle name="Style 967 2 2 2" xfId="8884" xr:uid="{CD889CC2-6B88-4782-8232-305A01D1E3D1}"/>
    <cellStyle name="Style 967 2 3" xfId="8883" xr:uid="{3FFE5538-9026-4893-94FE-24ED1459F687}"/>
    <cellStyle name="Style 967 3" xfId="768" xr:uid="{00000000-0005-0000-0000-00006B170000}"/>
    <cellStyle name="Style 967 3 2" xfId="1241" xr:uid="{00000000-0005-0000-0000-00006C170000}"/>
    <cellStyle name="Style 967 3 3" xfId="8885" xr:uid="{F65BAE03-F498-4B77-8B6F-8B2FEDCC60C2}"/>
    <cellStyle name="Style 967 4" xfId="1481" xr:uid="{00000000-0005-0000-0000-00006D170000}"/>
    <cellStyle name="Style 967 4 2" xfId="3465" xr:uid="{00000000-0005-0000-0000-00006E170000}"/>
    <cellStyle name="Style 967 4 3" xfId="8886" xr:uid="{30AAF8AB-7A41-45FF-BB13-CA96ECB15028}"/>
    <cellStyle name="Style 967 5" xfId="1776" xr:uid="{00000000-0005-0000-0000-00006F170000}"/>
    <cellStyle name="Style 967 5 2" xfId="3703" xr:uid="{00000000-0005-0000-0000-000070170000}"/>
    <cellStyle name="Style 967 6" xfId="2027" xr:uid="{00000000-0005-0000-0000-000071170000}"/>
    <cellStyle name="Style 967 6 2" xfId="3937" xr:uid="{00000000-0005-0000-0000-000072170000}"/>
    <cellStyle name="Style 967 7" xfId="2271" xr:uid="{00000000-0005-0000-0000-000073170000}"/>
    <cellStyle name="Style 967 7 2" xfId="4172" xr:uid="{00000000-0005-0000-0000-000074170000}"/>
    <cellStyle name="Style 967 8" xfId="2506" xr:uid="{00000000-0005-0000-0000-000075170000}"/>
    <cellStyle name="Style 967 8 2" xfId="4407" xr:uid="{00000000-0005-0000-0000-000076170000}"/>
    <cellStyle name="Style 967 9" xfId="2753" xr:uid="{00000000-0005-0000-0000-000077170000}"/>
    <cellStyle name="Style 967 9 2" xfId="4642" xr:uid="{00000000-0005-0000-0000-000078170000}"/>
    <cellStyle name="Style 968" xfId="301" xr:uid="{00000000-0005-0000-0000-000079170000}"/>
    <cellStyle name="Style 968 10" xfId="2988" xr:uid="{00000000-0005-0000-0000-00007A170000}"/>
    <cellStyle name="Style 968 10 2" xfId="4877" xr:uid="{00000000-0005-0000-0000-00007B170000}"/>
    <cellStyle name="Style 968 11" xfId="3225" xr:uid="{00000000-0005-0000-0000-00007C170000}"/>
    <cellStyle name="Style 968 11 2" xfId="5111" xr:uid="{00000000-0005-0000-0000-00007D170000}"/>
    <cellStyle name="Style 968 12" xfId="5347" xr:uid="{00000000-0005-0000-0000-00007E170000}"/>
    <cellStyle name="Style 968 12 2" xfId="6807" xr:uid="{00000000-0005-0000-0000-00007E170000}"/>
    <cellStyle name="Style 968 13" xfId="5564" xr:uid="{00000000-0005-0000-0000-00007F170000}"/>
    <cellStyle name="Style 968 13 2" xfId="6988" xr:uid="{00000000-0005-0000-0000-00007F170000}"/>
    <cellStyle name="Style 968 14" xfId="5930" xr:uid="{00000000-0005-0000-0000-000080170000}"/>
    <cellStyle name="Style 968 14 2" xfId="7350" xr:uid="{00000000-0005-0000-0000-000080170000}"/>
    <cellStyle name="Style 968 15" xfId="6421" xr:uid="{00000000-0005-0000-0000-000081170000}"/>
    <cellStyle name="Style 968 15 2" xfId="7699" xr:uid="{00000000-0005-0000-0000-000081170000}"/>
    <cellStyle name="Style 968 2" xfId="535" xr:uid="{00000000-0005-0000-0000-000082170000}"/>
    <cellStyle name="Style 968 2 2" xfId="1008" xr:uid="{00000000-0005-0000-0000-000083170000}"/>
    <cellStyle name="Style 968 2 2 2" xfId="8888" xr:uid="{F653F8AB-2068-4336-A064-78BB2F1D061E}"/>
    <cellStyle name="Style 968 2 3" xfId="8887" xr:uid="{66F4B75A-95E6-48D2-834D-CE54279FFEA7}"/>
    <cellStyle name="Style 968 3" xfId="769" xr:uid="{00000000-0005-0000-0000-000084170000}"/>
    <cellStyle name="Style 968 3 2" xfId="1242" xr:uid="{00000000-0005-0000-0000-000085170000}"/>
    <cellStyle name="Style 968 3 3" xfId="8889" xr:uid="{4F169282-A8ED-4AAF-9897-8C303266F4A5}"/>
    <cellStyle name="Style 968 4" xfId="1482" xr:uid="{00000000-0005-0000-0000-000086170000}"/>
    <cellStyle name="Style 968 4 2" xfId="3466" xr:uid="{00000000-0005-0000-0000-000087170000}"/>
    <cellStyle name="Style 968 4 3" xfId="8890" xr:uid="{8FE38AAC-9C3D-4E50-A7A1-F3ACABF315BB}"/>
    <cellStyle name="Style 968 5" xfId="1777" xr:uid="{00000000-0005-0000-0000-000088170000}"/>
    <cellStyle name="Style 968 5 2" xfId="3704" xr:uid="{00000000-0005-0000-0000-000089170000}"/>
    <cellStyle name="Style 968 6" xfId="2028" xr:uid="{00000000-0005-0000-0000-00008A170000}"/>
    <cellStyle name="Style 968 6 2" xfId="3938" xr:uid="{00000000-0005-0000-0000-00008B170000}"/>
    <cellStyle name="Style 968 7" xfId="2272" xr:uid="{00000000-0005-0000-0000-00008C170000}"/>
    <cellStyle name="Style 968 7 2" xfId="4173" xr:uid="{00000000-0005-0000-0000-00008D170000}"/>
    <cellStyle name="Style 968 8" xfId="2507" xr:uid="{00000000-0005-0000-0000-00008E170000}"/>
    <cellStyle name="Style 968 8 2" xfId="4408" xr:uid="{00000000-0005-0000-0000-00008F170000}"/>
    <cellStyle name="Style 968 9" xfId="2754" xr:uid="{00000000-0005-0000-0000-000090170000}"/>
    <cellStyle name="Style 968 9 2" xfId="4643" xr:uid="{00000000-0005-0000-0000-000091170000}"/>
    <cellStyle name="Style 969" xfId="302" xr:uid="{00000000-0005-0000-0000-000092170000}"/>
    <cellStyle name="Style 969 10" xfId="2989" xr:uid="{00000000-0005-0000-0000-000093170000}"/>
    <cellStyle name="Style 969 10 2" xfId="4878" xr:uid="{00000000-0005-0000-0000-000094170000}"/>
    <cellStyle name="Style 969 11" xfId="3226" xr:uid="{00000000-0005-0000-0000-000095170000}"/>
    <cellStyle name="Style 969 11 2" xfId="5112" xr:uid="{00000000-0005-0000-0000-000096170000}"/>
    <cellStyle name="Style 969 12" xfId="5348" xr:uid="{00000000-0005-0000-0000-000097170000}"/>
    <cellStyle name="Style 969 12 2" xfId="6808" xr:uid="{00000000-0005-0000-0000-000097170000}"/>
    <cellStyle name="Style 969 13" xfId="5565" xr:uid="{00000000-0005-0000-0000-000098170000}"/>
    <cellStyle name="Style 969 13 2" xfId="6989" xr:uid="{00000000-0005-0000-0000-000098170000}"/>
    <cellStyle name="Style 969 14" xfId="5931" xr:uid="{00000000-0005-0000-0000-000099170000}"/>
    <cellStyle name="Style 969 14 2" xfId="7351" xr:uid="{00000000-0005-0000-0000-000099170000}"/>
    <cellStyle name="Style 969 15" xfId="6422" xr:uid="{00000000-0005-0000-0000-00009A170000}"/>
    <cellStyle name="Style 969 15 2" xfId="7700" xr:uid="{00000000-0005-0000-0000-00009A170000}"/>
    <cellStyle name="Style 969 2" xfId="536" xr:uid="{00000000-0005-0000-0000-00009B170000}"/>
    <cellStyle name="Style 969 2 2" xfId="1009" xr:uid="{00000000-0005-0000-0000-00009C170000}"/>
    <cellStyle name="Style 969 2 2 2" xfId="8892" xr:uid="{145F4386-EF4C-44AD-A166-9DF540C74DE4}"/>
    <cellStyle name="Style 969 2 3" xfId="8891" xr:uid="{79D845AF-E0F7-4936-87BA-A590AE3F5726}"/>
    <cellStyle name="Style 969 3" xfId="770" xr:uid="{00000000-0005-0000-0000-00009D170000}"/>
    <cellStyle name="Style 969 3 2" xfId="1243" xr:uid="{00000000-0005-0000-0000-00009E170000}"/>
    <cellStyle name="Style 969 3 3" xfId="8893" xr:uid="{9FB51488-CEB7-4106-9814-0A2C248D818D}"/>
    <cellStyle name="Style 969 4" xfId="1483" xr:uid="{00000000-0005-0000-0000-00009F170000}"/>
    <cellStyle name="Style 969 4 2" xfId="3467" xr:uid="{00000000-0005-0000-0000-0000A0170000}"/>
    <cellStyle name="Style 969 4 3" xfId="8894" xr:uid="{EF8BDB72-92D6-4E03-96B5-3AED554538FC}"/>
    <cellStyle name="Style 969 5" xfId="1778" xr:uid="{00000000-0005-0000-0000-0000A1170000}"/>
    <cellStyle name="Style 969 5 2" xfId="3705" xr:uid="{00000000-0005-0000-0000-0000A2170000}"/>
    <cellStyle name="Style 969 6" xfId="2029" xr:uid="{00000000-0005-0000-0000-0000A3170000}"/>
    <cellStyle name="Style 969 6 2" xfId="3939" xr:uid="{00000000-0005-0000-0000-0000A4170000}"/>
    <cellStyle name="Style 969 7" xfId="2273" xr:uid="{00000000-0005-0000-0000-0000A5170000}"/>
    <cellStyle name="Style 969 7 2" xfId="4174" xr:uid="{00000000-0005-0000-0000-0000A6170000}"/>
    <cellStyle name="Style 969 8" xfId="2508" xr:uid="{00000000-0005-0000-0000-0000A7170000}"/>
    <cellStyle name="Style 969 8 2" xfId="4409" xr:uid="{00000000-0005-0000-0000-0000A8170000}"/>
    <cellStyle name="Style 969 9" xfId="2755" xr:uid="{00000000-0005-0000-0000-0000A9170000}"/>
    <cellStyle name="Style 969 9 2" xfId="4644" xr:uid="{00000000-0005-0000-0000-0000AA170000}"/>
    <cellStyle name="Style 974" xfId="303" xr:uid="{00000000-0005-0000-0000-0000AB170000}"/>
    <cellStyle name="Style 974 10" xfId="2990" xr:uid="{00000000-0005-0000-0000-0000AC170000}"/>
    <cellStyle name="Style 974 10 2" xfId="4879" xr:uid="{00000000-0005-0000-0000-0000AD170000}"/>
    <cellStyle name="Style 974 11" xfId="3227" xr:uid="{00000000-0005-0000-0000-0000AE170000}"/>
    <cellStyle name="Style 974 11 2" xfId="5113" xr:uid="{00000000-0005-0000-0000-0000AF170000}"/>
    <cellStyle name="Style 974 12" xfId="5349" xr:uid="{00000000-0005-0000-0000-0000B0170000}"/>
    <cellStyle name="Style 974 12 2" xfId="6809" xr:uid="{00000000-0005-0000-0000-0000B0170000}"/>
    <cellStyle name="Style 974 13" xfId="5566" xr:uid="{00000000-0005-0000-0000-0000B1170000}"/>
    <cellStyle name="Style 974 13 2" xfId="6990" xr:uid="{00000000-0005-0000-0000-0000B1170000}"/>
    <cellStyle name="Style 974 14" xfId="5932" xr:uid="{00000000-0005-0000-0000-0000B2170000}"/>
    <cellStyle name="Style 974 14 2" xfId="7352" xr:uid="{00000000-0005-0000-0000-0000B2170000}"/>
    <cellStyle name="Style 974 15" xfId="6423" xr:uid="{00000000-0005-0000-0000-0000B3170000}"/>
    <cellStyle name="Style 974 15 2" xfId="7701" xr:uid="{00000000-0005-0000-0000-0000B3170000}"/>
    <cellStyle name="Style 974 2" xfId="537" xr:uid="{00000000-0005-0000-0000-0000B4170000}"/>
    <cellStyle name="Style 974 2 2" xfId="1010" xr:uid="{00000000-0005-0000-0000-0000B5170000}"/>
    <cellStyle name="Style 974 2 2 2" xfId="8896" xr:uid="{116A58FD-9D7A-492C-BA09-08273C9E7E33}"/>
    <cellStyle name="Style 974 2 3" xfId="8895" xr:uid="{8C0D3537-8F05-472E-8474-9133B07E5EAA}"/>
    <cellStyle name="Style 974 3" xfId="771" xr:uid="{00000000-0005-0000-0000-0000B6170000}"/>
    <cellStyle name="Style 974 3 2" xfId="1244" xr:uid="{00000000-0005-0000-0000-0000B7170000}"/>
    <cellStyle name="Style 974 3 3" xfId="8897" xr:uid="{251D08EE-2E49-4430-99CE-E2A966B4A384}"/>
    <cellStyle name="Style 974 4" xfId="1484" xr:uid="{00000000-0005-0000-0000-0000B8170000}"/>
    <cellStyle name="Style 974 4 2" xfId="3468" xr:uid="{00000000-0005-0000-0000-0000B9170000}"/>
    <cellStyle name="Style 974 4 3" xfId="8898" xr:uid="{9A61D9A4-6FE3-41F9-BFA4-C524FC55E637}"/>
    <cellStyle name="Style 974 5" xfId="1779" xr:uid="{00000000-0005-0000-0000-0000BA170000}"/>
    <cellStyle name="Style 974 5 2" xfId="3706" xr:uid="{00000000-0005-0000-0000-0000BB170000}"/>
    <cellStyle name="Style 974 6" xfId="2030" xr:uid="{00000000-0005-0000-0000-0000BC170000}"/>
    <cellStyle name="Style 974 6 2" xfId="3940" xr:uid="{00000000-0005-0000-0000-0000BD170000}"/>
    <cellStyle name="Style 974 7" xfId="2274" xr:uid="{00000000-0005-0000-0000-0000BE170000}"/>
    <cellStyle name="Style 974 7 2" xfId="4175" xr:uid="{00000000-0005-0000-0000-0000BF170000}"/>
    <cellStyle name="Style 974 8" xfId="2509" xr:uid="{00000000-0005-0000-0000-0000C0170000}"/>
    <cellStyle name="Style 974 8 2" xfId="4410" xr:uid="{00000000-0005-0000-0000-0000C1170000}"/>
    <cellStyle name="Style 974 9" xfId="2756" xr:uid="{00000000-0005-0000-0000-0000C2170000}"/>
    <cellStyle name="Style 974 9 2" xfId="4645" xr:uid="{00000000-0005-0000-0000-0000C3170000}"/>
    <cellStyle name="Style 975" xfId="304" xr:uid="{00000000-0005-0000-0000-0000C4170000}"/>
    <cellStyle name="Style 975 10" xfId="2991" xr:uid="{00000000-0005-0000-0000-0000C5170000}"/>
    <cellStyle name="Style 975 10 2" xfId="4880" xr:uid="{00000000-0005-0000-0000-0000C6170000}"/>
    <cellStyle name="Style 975 11" xfId="3228" xr:uid="{00000000-0005-0000-0000-0000C7170000}"/>
    <cellStyle name="Style 975 11 2" xfId="5114" xr:uid="{00000000-0005-0000-0000-0000C8170000}"/>
    <cellStyle name="Style 975 12" xfId="5350" xr:uid="{00000000-0005-0000-0000-0000C9170000}"/>
    <cellStyle name="Style 975 12 2" xfId="6810" xr:uid="{00000000-0005-0000-0000-0000C9170000}"/>
    <cellStyle name="Style 975 13" xfId="5567" xr:uid="{00000000-0005-0000-0000-0000CA170000}"/>
    <cellStyle name="Style 975 13 2" xfId="6991" xr:uid="{00000000-0005-0000-0000-0000CA170000}"/>
    <cellStyle name="Style 975 14" xfId="5933" xr:uid="{00000000-0005-0000-0000-0000CB170000}"/>
    <cellStyle name="Style 975 14 2" xfId="7353" xr:uid="{00000000-0005-0000-0000-0000CB170000}"/>
    <cellStyle name="Style 975 15" xfId="6424" xr:uid="{00000000-0005-0000-0000-0000CC170000}"/>
    <cellStyle name="Style 975 15 2" xfId="7702" xr:uid="{00000000-0005-0000-0000-0000CC170000}"/>
    <cellStyle name="Style 975 2" xfId="538" xr:uid="{00000000-0005-0000-0000-0000CD170000}"/>
    <cellStyle name="Style 975 2 2" xfId="1011" xr:uid="{00000000-0005-0000-0000-0000CE170000}"/>
    <cellStyle name="Style 975 2 2 2" xfId="8900" xr:uid="{8E6B19A1-9EEF-4BA7-A9B5-8ABE49973E0C}"/>
    <cellStyle name="Style 975 2 3" xfId="8899" xr:uid="{8E8205B9-E78F-4141-954F-118F9B998D1E}"/>
    <cellStyle name="Style 975 3" xfId="772" xr:uid="{00000000-0005-0000-0000-0000CF170000}"/>
    <cellStyle name="Style 975 3 2" xfId="1245" xr:uid="{00000000-0005-0000-0000-0000D0170000}"/>
    <cellStyle name="Style 975 3 3" xfId="8901" xr:uid="{3723D209-1AE3-408E-8939-4558810D7CF2}"/>
    <cellStyle name="Style 975 4" xfId="1485" xr:uid="{00000000-0005-0000-0000-0000D1170000}"/>
    <cellStyle name="Style 975 4 2" xfId="3469" xr:uid="{00000000-0005-0000-0000-0000D2170000}"/>
    <cellStyle name="Style 975 4 3" xfId="8902" xr:uid="{DFEF64A6-93DD-4A1D-9901-FF3EEA61CD5F}"/>
    <cellStyle name="Style 975 5" xfId="1780" xr:uid="{00000000-0005-0000-0000-0000D3170000}"/>
    <cellStyle name="Style 975 5 2" xfId="3707" xr:uid="{00000000-0005-0000-0000-0000D4170000}"/>
    <cellStyle name="Style 975 6" xfId="2031" xr:uid="{00000000-0005-0000-0000-0000D5170000}"/>
    <cellStyle name="Style 975 6 2" xfId="3941" xr:uid="{00000000-0005-0000-0000-0000D6170000}"/>
    <cellStyle name="Style 975 7" xfId="2275" xr:uid="{00000000-0005-0000-0000-0000D7170000}"/>
    <cellStyle name="Style 975 7 2" xfId="4176" xr:uid="{00000000-0005-0000-0000-0000D8170000}"/>
    <cellStyle name="Style 975 8" xfId="2510" xr:uid="{00000000-0005-0000-0000-0000D9170000}"/>
    <cellStyle name="Style 975 8 2" xfId="4411" xr:uid="{00000000-0005-0000-0000-0000DA170000}"/>
    <cellStyle name="Style 975 9" xfId="2757" xr:uid="{00000000-0005-0000-0000-0000DB170000}"/>
    <cellStyle name="Style 975 9 2" xfId="4646" xr:uid="{00000000-0005-0000-0000-0000DC170000}"/>
    <cellStyle name="Style 976" xfId="305" xr:uid="{00000000-0005-0000-0000-0000DD170000}"/>
    <cellStyle name="Style 976 10" xfId="2992" xr:uid="{00000000-0005-0000-0000-0000DE170000}"/>
    <cellStyle name="Style 976 10 2" xfId="4881" xr:uid="{00000000-0005-0000-0000-0000DF170000}"/>
    <cellStyle name="Style 976 11" xfId="3229" xr:uid="{00000000-0005-0000-0000-0000E0170000}"/>
    <cellStyle name="Style 976 11 2" xfId="5115" xr:uid="{00000000-0005-0000-0000-0000E1170000}"/>
    <cellStyle name="Style 976 12" xfId="5351" xr:uid="{00000000-0005-0000-0000-0000E2170000}"/>
    <cellStyle name="Style 976 12 2" xfId="6811" xr:uid="{00000000-0005-0000-0000-0000E2170000}"/>
    <cellStyle name="Style 976 13" xfId="5568" xr:uid="{00000000-0005-0000-0000-0000E3170000}"/>
    <cellStyle name="Style 976 13 2" xfId="6992" xr:uid="{00000000-0005-0000-0000-0000E3170000}"/>
    <cellStyle name="Style 976 14" xfId="5934" xr:uid="{00000000-0005-0000-0000-0000E4170000}"/>
    <cellStyle name="Style 976 14 2" xfId="7354" xr:uid="{00000000-0005-0000-0000-0000E4170000}"/>
    <cellStyle name="Style 976 15" xfId="6425" xr:uid="{00000000-0005-0000-0000-0000E5170000}"/>
    <cellStyle name="Style 976 15 2" xfId="7703" xr:uid="{00000000-0005-0000-0000-0000E5170000}"/>
    <cellStyle name="Style 976 2" xfId="539" xr:uid="{00000000-0005-0000-0000-0000E6170000}"/>
    <cellStyle name="Style 976 2 2" xfId="1012" xr:uid="{00000000-0005-0000-0000-0000E7170000}"/>
    <cellStyle name="Style 976 2 2 2" xfId="8904" xr:uid="{44FA5392-92EE-4C2C-972E-9A7376A00D37}"/>
    <cellStyle name="Style 976 2 3" xfId="8903" xr:uid="{EB518D89-238A-4988-89DC-57627FD97300}"/>
    <cellStyle name="Style 976 3" xfId="773" xr:uid="{00000000-0005-0000-0000-0000E8170000}"/>
    <cellStyle name="Style 976 3 2" xfId="1246" xr:uid="{00000000-0005-0000-0000-0000E9170000}"/>
    <cellStyle name="Style 976 3 3" xfId="8905" xr:uid="{B7A7C4D8-5501-4B0B-B637-5C8568AE6167}"/>
    <cellStyle name="Style 976 4" xfId="1486" xr:uid="{00000000-0005-0000-0000-0000EA170000}"/>
    <cellStyle name="Style 976 4 2" xfId="3470" xr:uid="{00000000-0005-0000-0000-0000EB170000}"/>
    <cellStyle name="Style 976 4 3" xfId="8906" xr:uid="{0B9118E4-2061-4C20-B8FA-119BBE8E4134}"/>
    <cellStyle name="Style 976 5" xfId="1781" xr:uid="{00000000-0005-0000-0000-0000EC170000}"/>
    <cellStyle name="Style 976 5 2" xfId="3708" xr:uid="{00000000-0005-0000-0000-0000ED170000}"/>
    <cellStyle name="Style 976 6" xfId="2032" xr:uid="{00000000-0005-0000-0000-0000EE170000}"/>
    <cellStyle name="Style 976 6 2" xfId="3942" xr:uid="{00000000-0005-0000-0000-0000EF170000}"/>
    <cellStyle name="Style 976 7" xfId="2276" xr:uid="{00000000-0005-0000-0000-0000F0170000}"/>
    <cellStyle name="Style 976 7 2" xfId="4177" xr:uid="{00000000-0005-0000-0000-0000F1170000}"/>
    <cellStyle name="Style 976 8" xfId="2511" xr:uid="{00000000-0005-0000-0000-0000F2170000}"/>
    <cellStyle name="Style 976 8 2" xfId="4412" xr:uid="{00000000-0005-0000-0000-0000F3170000}"/>
    <cellStyle name="Style 976 9" xfId="2758" xr:uid="{00000000-0005-0000-0000-0000F4170000}"/>
    <cellStyle name="Style 976 9 2" xfId="4647" xr:uid="{00000000-0005-0000-0000-0000F5170000}"/>
    <cellStyle name="Style 977" xfId="306" xr:uid="{00000000-0005-0000-0000-0000F6170000}"/>
    <cellStyle name="Style 977 10" xfId="2993" xr:uid="{00000000-0005-0000-0000-0000F7170000}"/>
    <cellStyle name="Style 977 10 2" xfId="4882" xr:uid="{00000000-0005-0000-0000-0000F8170000}"/>
    <cellStyle name="Style 977 11" xfId="3230" xr:uid="{00000000-0005-0000-0000-0000F9170000}"/>
    <cellStyle name="Style 977 11 2" xfId="5116" xr:uid="{00000000-0005-0000-0000-0000FA170000}"/>
    <cellStyle name="Style 977 12" xfId="5352" xr:uid="{00000000-0005-0000-0000-0000FB170000}"/>
    <cellStyle name="Style 977 12 2" xfId="6812" xr:uid="{00000000-0005-0000-0000-0000FB170000}"/>
    <cellStyle name="Style 977 13" xfId="5569" xr:uid="{00000000-0005-0000-0000-0000FC170000}"/>
    <cellStyle name="Style 977 13 2" xfId="6993" xr:uid="{00000000-0005-0000-0000-0000FC170000}"/>
    <cellStyle name="Style 977 14" xfId="5935" xr:uid="{00000000-0005-0000-0000-0000FD170000}"/>
    <cellStyle name="Style 977 14 2" xfId="7355" xr:uid="{00000000-0005-0000-0000-0000FD170000}"/>
    <cellStyle name="Style 977 15" xfId="6426" xr:uid="{00000000-0005-0000-0000-0000FE170000}"/>
    <cellStyle name="Style 977 15 2" xfId="7704" xr:uid="{00000000-0005-0000-0000-0000FE170000}"/>
    <cellStyle name="Style 977 2" xfId="540" xr:uid="{00000000-0005-0000-0000-0000FF170000}"/>
    <cellStyle name="Style 977 2 2" xfId="1013" xr:uid="{00000000-0005-0000-0000-000000180000}"/>
    <cellStyle name="Style 977 2 2 2" xfId="8908" xr:uid="{72CC86C4-DEC8-4199-96DF-71A7A0A1A724}"/>
    <cellStyle name="Style 977 2 3" xfId="8907" xr:uid="{C54D5F98-100B-4D85-B598-8F9420C991F2}"/>
    <cellStyle name="Style 977 3" xfId="774" xr:uid="{00000000-0005-0000-0000-000001180000}"/>
    <cellStyle name="Style 977 3 2" xfId="1247" xr:uid="{00000000-0005-0000-0000-000002180000}"/>
    <cellStyle name="Style 977 3 3" xfId="8909" xr:uid="{A80A66AB-DCFC-47F7-9525-BA6FB1C666FC}"/>
    <cellStyle name="Style 977 4" xfId="1487" xr:uid="{00000000-0005-0000-0000-000003180000}"/>
    <cellStyle name="Style 977 4 2" xfId="3471" xr:uid="{00000000-0005-0000-0000-000004180000}"/>
    <cellStyle name="Style 977 4 3" xfId="8910" xr:uid="{AB0CEA02-1775-4F08-A308-AB0FBA38888C}"/>
    <cellStyle name="Style 977 5" xfId="1782" xr:uid="{00000000-0005-0000-0000-000005180000}"/>
    <cellStyle name="Style 977 5 2" xfId="3709" xr:uid="{00000000-0005-0000-0000-000006180000}"/>
    <cellStyle name="Style 977 6" xfId="2033" xr:uid="{00000000-0005-0000-0000-000007180000}"/>
    <cellStyle name="Style 977 6 2" xfId="3943" xr:uid="{00000000-0005-0000-0000-000008180000}"/>
    <cellStyle name="Style 977 7" xfId="2277" xr:uid="{00000000-0005-0000-0000-000009180000}"/>
    <cellStyle name="Style 977 7 2" xfId="4178" xr:uid="{00000000-0005-0000-0000-00000A180000}"/>
    <cellStyle name="Style 977 8" xfId="2512" xr:uid="{00000000-0005-0000-0000-00000B180000}"/>
    <cellStyle name="Style 977 8 2" xfId="4413" xr:uid="{00000000-0005-0000-0000-00000C180000}"/>
    <cellStyle name="Style 977 9" xfId="2759" xr:uid="{00000000-0005-0000-0000-00000D180000}"/>
    <cellStyle name="Style 977 9 2" xfId="4648" xr:uid="{00000000-0005-0000-0000-00000E180000}"/>
    <cellStyle name="Style 979" xfId="307" xr:uid="{00000000-0005-0000-0000-00000F180000}"/>
    <cellStyle name="Style 979 10" xfId="2994" xr:uid="{00000000-0005-0000-0000-000010180000}"/>
    <cellStyle name="Style 979 10 2" xfId="4883" xr:uid="{00000000-0005-0000-0000-000011180000}"/>
    <cellStyle name="Style 979 11" xfId="3231" xr:uid="{00000000-0005-0000-0000-000012180000}"/>
    <cellStyle name="Style 979 11 2" xfId="5117" xr:uid="{00000000-0005-0000-0000-000013180000}"/>
    <cellStyle name="Style 979 12" xfId="5353" xr:uid="{00000000-0005-0000-0000-000014180000}"/>
    <cellStyle name="Style 979 12 2" xfId="6813" xr:uid="{00000000-0005-0000-0000-000014180000}"/>
    <cellStyle name="Style 979 13" xfId="5570" xr:uid="{00000000-0005-0000-0000-000015180000}"/>
    <cellStyle name="Style 979 13 2" xfId="6994" xr:uid="{00000000-0005-0000-0000-000015180000}"/>
    <cellStyle name="Style 979 14" xfId="5936" xr:uid="{00000000-0005-0000-0000-000016180000}"/>
    <cellStyle name="Style 979 14 2" xfId="7356" xr:uid="{00000000-0005-0000-0000-000016180000}"/>
    <cellStyle name="Style 979 15" xfId="6427" xr:uid="{00000000-0005-0000-0000-000017180000}"/>
    <cellStyle name="Style 979 15 2" xfId="7705" xr:uid="{00000000-0005-0000-0000-000017180000}"/>
    <cellStyle name="Style 979 2" xfId="541" xr:uid="{00000000-0005-0000-0000-000018180000}"/>
    <cellStyle name="Style 979 2 2" xfId="1014" xr:uid="{00000000-0005-0000-0000-000019180000}"/>
    <cellStyle name="Style 979 2 2 2" xfId="8912" xr:uid="{8B94BD74-4686-4B72-90BC-CBB19AA6D341}"/>
    <cellStyle name="Style 979 2 3" xfId="8911" xr:uid="{47B3546C-92B8-4447-BE53-759BB1E6891A}"/>
    <cellStyle name="Style 979 3" xfId="775" xr:uid="{00000000-0005-0000-0000-00001A180000}"/>
    <cellStyle name="Style 979 3 2" xfId="1248" xr:uid="{00000000-0005-0000-0000-00001B180000}"/>
    <cellStyle name="Style 979 3 3" xfId="8913" xr:uid="{1BCDC3C9-821A-4026-8520-BFFBE939255F}"/>
    <cellStyle name="Style 979 4" xfId="1488" xr:uid="{00000000-0005-0000-0000-00001C180000}"/>
    <cellStyle name="Style 979 4 2" xfId="3472" xr:uid="{00000000-0005-0000-0000-00001D180000}"/>
    <cellStyle name="Style 979 5" xfId="1783" xr:uid="{00000000-0005-0000-0000-00001E180000}"/>
    <cellStyle name="Style 979 5 2" xfId="3710" xr:uid="{00000000-0005-0000-0000-00001F180000}"/>
    <cellStyle name="Style 979 6" xfId="2034" xr:uid="{00000000-0005-0000-0000-000020180000}"/>
    <cellStyle name="Style 979 6 2" xfId="3944" xr:uid="{00000000-0005-0000-0000-000021180000}"/>
    <cellStyle name="Style 979 7" xfId="2278" xr:uid="{00000000-0005-0000-0000-000022180000}"/>
    <cellStyle name="Style 979 7 2" xfId="4179" xr:uid="{00000000-0005-0000-0000-000023180000}"/>
    <cellStyle name="Style 979 8" xfId="2513" xr:uid="{00000000-0005-0000-0000-000024180000}"/>
    <cellStyle name="Style 979 8 2" xfId="4414" xr:uid="{00000000-0005-0000-0000-000025180000}"/>
    <cellStyle name="Style 979 9" xfId="2760" xr:uid="{00000000-0005-0000-0000-000026180000}"/>
    <cellStyle name="Style 979 9 2" xfId="4649" xr:uid="{00000000-0005-0000-0000-000027180000}"/>
    <cellStyle name="Style 981" xfId="308" xr:uid="{00000000-0005-0000-0000-000028180000}"/>
    <cellStyle name="Style 981 10" xfId="2995" xr:uid="{00000000-0005-0000-0000-000029180000}"/>
    <cellStyle name="Style 981 10 2" xfId="4884" xr:uid="{00000000-0005-0000-0000-00002A180000}"/>
    <cellStyle name="Style 981 11" xfId="3232" xr:uid="{00000000-0005-0000-0000-00002B180000}"/>
    <cellStyle name="Style 981 11 2" xfId="5118" xr:uid="{00000000-0005-0000-0000-00002C180000}"/>
    <cellStyle name="Style 981 12" xfId="5354" xr:uid="{00000000-0005-0000-0000-00002D180000}"/>
    <cellStyle name="Style 981 12 2" xfId="6814" xr:uid="{00000000-0005-0000-0000-00002D180000}"/>
    <cellStyle name="Style 981 13" xfId="5571" xr:uid="{00000000-0005-0000-0000-00002E180000}"/>
    <cellStyle name="Style 981 13 2" xfId="6995" xr:uid="{00000000-0005-0000-0000-00002E180000}"/>
    <cellStyle name="Style 981 14" xfId="5937" xr:uid="{00000000-0005-0000-0000-00002F180000}"/>
    <cellStyle name="Style 981 14 2" xfId="7357" xr:uid="{00000000-0005-0000-0000-00002F180000}"/>
    <cellStyle name="Style 981 15" xfId="6428" xr:uid="{00000000-0005-0000-0000-000030180000}"/>
    <cellStyle name="Style 981 15 2" xfId="7706" xr:uid="{00000000-0005-0000-0000-000030180000}"/>
    <cellStyle name="Style 981 2" xfId="542" xr:uid="{00000000-0005-0000-0000-000031180000}"/>
    <cellStyle name="Style 981 2 2" xfId="1015" xr:uid="{00000000-0005-0000-0000-000032180000}"/>
    <cellStyle name="Style 981 2 2 2" xfId="8915" xr:uid="{DA94F3E8-B7EE-42C8-A31E-030DE0C3F0CC}"/>
    <cellStyle name="Style 981 2 3" xfId="8914" xr:uid="{DA1D4C6A-5C8D-4CDB-BD52-EB9FB933852E}"/>
    <cellStyle name="Style 981 3" xfId="776" xr:uid="{00000000-0005-0000-0000-000033180000}"/>
    <cellStyle name="Style 981 3 2" xfId="1249" xr:uid="{00000000-0005-0000-0000-000034180000}"/>
    <cellStyle name="Style 981 3 3" xfId="8916" xr:uid="{152146F0-7B3A-4FC4-88D0-E00ED1DD6163}"/>
    <cellStyle name="Style 981 4" xfId="1489" xr:uid="{00000000-0005-0000-0000-000035180000}"/>
    <cellStyle name="Style 981 4 2" xfId="3473" xr:uid="{00000000-0005-0000-0000-000036180000}"/>
    <cellStyle name="Style 981 4 3" xfId="8917" xr:uid="{655374F8-614B-41A7-AABF-14758930AAE8}"/>
    <cellStyle name="Style 981 5" xfId="1784" xr:uid="{00000000-0005-0000-0000-000037180000}"/>
    <cellStyle name="Style 981 5 2" xfId="3711" xr:uid="{00000000-0005-0000-0000-000038180000}"/>
    <cellStyle name="Style 981 6" xfId="2035" xr:uid="{00000000-0005-0000-0000-000039180000}"/>
    <cellStyle name="Style 981 6 2" xfId="3945" xr:uid="{00000000-0005-0000-0000-00003A180000}"/>
    <cellStyle name="Style 981 7" xfId="2279" xr:uid="{00000000-0005-0000-0000-00003B180000}"/>
    <cellStyle name="Style 981 7 2" xfId="4180" xr:uid="{00000000-0005-0000-0000-00003C180000}"/>
    <cellStyle name="Style 981 8" xfId="2514" xr:uid="{00000000-0005-0000-0000-00003D180000}"/>
    <cellStyle name="Style 981 8 2" xfId="4415" xr:uid="{00000000-0005-0000-0000-00003E180000}"/>
    <cellStyle name="Style 981 9" xfId="2761" xr:uid="{00000000-0005-0000-0000-00003F180000}"/>
    <cellStyle name="Style 981 9 2" xfId="4650" xr:uid="{00000000-0005-0000-0000-000040180000}"/>
    <cellStyle name="Style 982" xfId="309" xr:uid="{00000000-0005-0000-0000-000041180000}"/>
    <cellStyle name="Style 982 10" xfId="2996" xr:uid="{00000000-0005-0000-0000-000042180000}"/>
    <cellStyle name="Style 982 10 2" xfId="4885" xr:uid="{00000000-0005-0000-0000-000043180000}"/>
    <cellStyle name="Style 982 11" xfId="3233" xr:uid="{00000000-0005-0000-0000-000044180000}"/>
    <cellStyle name="Style 982 11 2" xfId="5119" xr:uid="{00000000-0005-0000-0000-000045180000}"/>
    <cellStyle name="Style 982 12" xfId="5355" xr:uid="{00000000-0005-0000-0000-000046180000}"/>
    <cellStyle name="Style 982 12 2" xfId="6815" xr:uid="{00000000-0005-0000-0000-000046180000}"/>
    <cellStyle name="Style 982 13" xfId="5572" xr:uid="{00000000-0005-0000-0000-000047180000}"/>
    <cellStyle name="Style 982 13 2" xfId="6996" xr:uid="{00000000-0005-0000-0000-000047180000}"/>
    <cellStyle name="Style 982 14" xfId="5938" xr:uid="{00000000-0005-0000-0000-000048180000}"/>
    <cellStyle name="Style 982 14 2" xfId="7358" xr:uid="{00000000-0005-0000-0000-000048180000}"/>
    <cellStyle name="Style 982 15" xfId="6429" xr:uid="{00000000-0005-0000-0000-000049180000}"/>
    <cellStyle name="Style 982 15 2" xfId="7707" xr:uid="{00000000-0005-0000-0000-000049180000}"/>
    <cellStyle name="Style 982 2" xfId="543" xr:uid="{00000000-0005-0000-0000-00004A180000}"/>
    <cellStyle name="Style 982 2 2" xfId="1016" xr:uid="{00000000-0005-0000-0000-00004B180000}"/>
    <cellStyle name="Style 982 2 2 2" xfId="8919" xr:uid="{6D281AAB-38E3-40FE-8884-10AF4B35D98D}"/>
    <cellStyle name="Style 982 2 3" xfId="8918" xr:uid="{27B846D8-E561-4D46-A354-54DD2896831D}"/>
    <cellStyle name="Style 982 3" xfId="777" xr:uid="{00000000-0005-0000-0000-00004C180000}"/>
    <cellStyle name="Style 982 3 2" xfId="1250" xr:uid="{00000000-0005-0000-0000-00004D180000}"/>
    <cellStyle name="Style 982 3 3" xfId="8920" xr:uid="{F76661DD-5CB0-4891-A585-AE75A0937C2C}"/>
    <cellStyle name="Style 982 4" xfId="1490" xr:uid="{00000000-0005-0000-0000-00004E180000}"/>
    <cellStyle name="Style 982 4 2" xfId="3474" xr:uid="{00000000-0005-0000-0000-00004F180000}"/>
    <cellStyle name="Style 982 4 3" xfId="8921" xr:uid="{2D4019FD-D83B-4DC3-8172-0990254844CF}"/>
    <cellStyle name="Style 982 5" xfId="1785" xr:uid="{00000000-0005-0000-0000-000050180000}"/>
    <cellStyle name="Style 982 5 2" xfId="3712" xr:uid="{00000000-0005-0000-0000-000051180000}"/>
    <cellStyle name="Style 982 6" xfId="2036" xr:uid="{00000000-0005-0000-0000-000052180000}"/>
    <cellStyle name="Style 982 6 2" xfId="3946" xr:uid="{00000000-0005-0000-0000-000053180000}"/>
    <cellStyle name="Style 982 7" xfId="2280" xr:uid="{00000000-0005-0000-0000-000054180000}"/>
    <cellStyle name="Style 982 7 2" xfId="4181" xr:uid="{00000000-0005-0000-0000-000055180000}"/>
    <cellStyle name="Style 982 8" xfId="2515" xr:uid="{00000000-0005-0000-0000-000056180000}"/>
    <cellStyle name="Style 982 8 2" xfId="4416" xr:uid="{00000000-0005-0000-0000-000057180000}"/>
    <cellStyle name="Style 982 9" xfId="2762" xr:uid="{00000000-0005-0000-0000-000058180000}"/>
    <cellStyle name="Style 982 9 2" xfId="4651" xr:uid="{00000000-0005-0000-0000-000059180000}"/>
    <cellStyle name="Style 983" xfId="310" xr:uid="{00000000-0005-0000-0000-00005A180000}"/>
    <cellStyle name="Style 983 10" xfId="2997" xr:uid="{00000000-0005-0000-0000-00005B180000}"/>
    <cellStyle name="Style 983 10 2" xfId="4886" xr:uid="{00000000-0005-0000-0000-00005C180000}"/>
    <cellStyle name="Style 983 11" xfId="3234" xr:uid="{00000000-0005-0000-0000-00005D180000}"/>
    <cellStyle name="Style 983 11 2" xfId="5120" xr:uid="{00000000-0005-0000-0000-00005E180000}"/>
    <cellStyle name="Style 983 12" xfId="5356" xr:uid="{00000000-0005-0000-0000-00005F180000}"/>
    <cellStyle name="Style 983 12 2" xfId="6816" xr:uid="{00000000-0005-0000-0000-00005F180000}"/>
    <cellStyle name="Style 983 13" xfId="5573" xr:uid="{00000000-0005-0000-0000-000060180000}"/>
    <cellStyle name="Style 983 13 2" xfId="6997" xr:uid="{00000000-0005-0000-0000-000060180000}"/>
    <cellStyle name="Style 983 14" xfId="5939" xr:uid="{00000000-0005-0000-0000-000061180000}"/>
    <cellStyle name="Style 983 14 2" xfId="7359" xr:uid="{00000000-0005-0000-0000-000061180000}"/>
    <cellStyle name="Style 983 15" xfId="6430" xr:uid="{00000000-0005-0000-0000-000062180000}"/>
    <cellStyle name="Style 983 15 2" xfId="7708" xr:uid="{00000000-0005-0000-0000-000062180000}"/>
    <cellStyle name="Style 983 2" xfId="544" xr:uid="{00000000-0005-0000-0000-000063180000}"/>
    <cellStyle name="Style 983 2 2" xfId="1017" xr:uid="{00000000-0005-0000-0000-000064180000}"/>
    <cellStyle name="Style 983 2 2 2" xfId="8923" xr:uid="{FBC56A69-95CC-4B1E-BEA9-C6364209E278}"/>
    <cellStyle name="Style 983 2 3" xfId="8922" xr:uid="{9488334E-8294-429B-AF50-C8F04C72BD19}"/>
    <cellStyle name="Style 983 3" xfId="778" xr:uid="{00000000-0005-0000-0000-000065180000}"/>
    <cellStyle name="Style 983 3 2" xfId="1251" xr:uid="{00000000-0005-0000-0000-000066180000}"/>
    <cellStyle name="Style 983 3 3" xfId="8924" xr:uid="{16831329-F31F-4210-A015-4763EAD34954}"/>
    <cellStyle name="Style 983 4" xfId="1491" xr:uid="{00000000-0005-0000-0000-000067180000}"/>
    <cellStyle name="Style 983 4 2" xfId="3475" xr:uid="{00000000-0005-0000-0000-000068180000}"/>
    <cellStyle name="Style 983 4 3" xfId="8925" xr:uid="{EFD64D08-6C0A-4F86-A3C1-D0EA1502A0E4}"/>
    <cellStyle name="Style 983 5" xfId="1786" xr:uid="{00000000-0005-0000-0000-000069180000}"/>
    <cellStyle name="Style 983 5 2" xfId="3713" xr:uid="{00000000-0005-0000-0000-00006A180000}"/>
    <cellStyle name="Style 983 6" xfId="2037" xr:uid="{00000000-0005-0000-0000-00006B180000}"/>
    <cellStyle name="Style 983 6 2" xfId="3947" xr:uid="{00000000-0005-0000-0000-00006C180000}"/>
    <cellStyle name="Style 983 7" xfId="2281" xr:uid="{00000000-0005-0000-0000-00006D180000}"/>
    <cellStyle name="Style 983 7 2" xfId="4182" xr:uid="{00000000-0005-0000-0000-00006E180000}"/>
    <cellStyle name="Style 983 8" xfId="2516" xr:uid="{00000000-0005-0000-0000-00006F180000}"/>
    <cellStyle name="Style 983 8 2" xfId="4417" xr:uid="{00000000-0005-0000-0000-000070180000}"/>
    <cellStyle name="Style 983 9" xfId="2763" xr:uid="{00000000-0005-0000-0000-000071180000}"/>
    <cellStyle name="Style 983 9 2" xfId="4652" xr:uid="{00000000-0005-0000-0000-000072180000}"/>
    <cellStyle name="Style 984" xfId="311" xr:uid="{00000000-0005-0000-0000-000073180000}"/>
    <cellStyle name="Style 984 10" xfId="2998" xr:uid="{00000000-0005-0000-0000-000074180000}"/>
    <cellStyle name="Style 984 10 2" xfId="4887" xr:uid="{00000000-0005-0000-0000-000075180000}"/>
    <cellStyle name="Style 984 11" xfId="3235" xr:uid="{00000000-0005-0000-0000-000076180000}"/>
    <cellStyle name="Style 984 11 2" xfId="5121" xr:uid="{00000000-0005-0000-0000-000077180000}"/>
    <cellStyle name="Style 984 12" xfId="5357" xr:uid="{00000000-0005-0000-0000-000078180000}"/>
    <cellStyle name="Style 984 12 2" xfId="6817" xr:uid="{00000000-0005-0000-0000-000078180000}"/>
    <cellStyle name="Style 984 13" xfId="5574" xr:uid="{00000000-0005-0000-0000-000079180000}"/>
    <cellStyle name="Style 984 13 2" xfId="6998" xr:uid="{00000000-0005-0000-0000-000079180000}"/>
    <cellStyle name="Style 984 14" xfId="5940" xr:uid="{00000000-0005-0000-0000-00007A180000}"/>
    <cellStyle name="Style 984 14 2" xfId="7360" xr:uid="{00000000-0005-0000-0000-00007A180000}"/>
    <cellStyle name="Style 984 15" xfId="6431" xr:uid="{00000000-0005-0000-0000-00007B180000}"/>
    <cellStyle name="Style 984 15 2" xfId="7709" xr:uid="{00000000-0005-0000-0000-00007B180000}"/>
    <cellStyle name="Style 984 2" xfId="545" xr:uid="{00000000-0005-0000-0000-00007C180000}"/>
    <cellStyle name="Style 984 2 2" xfId="1018" xr:uid="{00000000-0005-0000-0000-00007D180000}"/>
    <cellStyle name="Style 984 2 2 2" xfId="8927" xr:uid="{ABCA422B-B91C-4162-BC62-CE2D4E344019}"/>
    <cellStyle name="Style 984 2 3" xfId="8926" xr:uid="{259A86B3-969D-472B-8132-61FA9D7F1274}"/>
    <cellStyle name="Style 984 3" xfId="779" xr:uid="{00000000-0005-0000-0000-00007E180000}"/>
    <cellStyle name="Style 984 3 2" xfId="1252" xr:uid="{00000000-0005-0000-0000-00007F180000}"/>
    <cellStyle name="Style 984 3 3" xfId="8928" xr:uid="{2003730F-8F34-4CEA-A045-23BE95F5D54E}"/>
    <cellStyle name="Style 984 4" xfId="1492" xr:uid="{00000000-0005-0000-0000-000080180000}"/>
    <cellStyle name="Style 984 4 2" xfId="3476" xr:uid="{00000000-0005-0000-0000-000081180000}"/>
    <cellStyle name="Style 984 4 3" xfId="8929" xr:uid="{6EA6A677-840E-487A-901D-3EBF3E6249A9}"/>
    <cellStyle name="Style 984 5" xfId="1787" xr:uid="{00000000-0005-0000-0000-000082180000}"/>
    <cellStyle name="Style 984 5 2" xfId="3714" xr:uid="{00000000-0005-0000-0000-000083180000}"/>
    <cellStyle name="Style 984 6" xfId="2038" xr:uid="{00000000-0005-0000-0000-000084180000}"/>
    <cellStyle name="Style 984 6 2" xfId="3948" xr:uid="{00000000-0005-0000-0000-000085180000}"/>
    <cellStyle name="Style 984 7" xfId="2282" xr:uid="{00000000-0005-0000-0000-000086180000}"/>
    <cellStyle name="Style 984 7 2" xfId="4183" xr:uid="{00000000-0005-0000-0000-000087180000}"/>
    <cellStyle name="Style 984 8" xfId="2517" xr:uid="{00000000-0005-0000-0000-000088180000}"/>
    <cellStyle name="Style 984 8 2" xfId="4418" xr:uid="{00000000-0005-0000-0000-000089180000}"/>
    <cellStyle name="Style 984 9" xfId="2764" xr:uid="{00000000-0005-0000-0000-00008A180000}"/>
    <cellStyle name="Style 984 9 2" xfId="4653" xr:uid="{00000000-0005-0000-0000-00008B180000}"/>
    <cellStyle name="Style 985" xfId="312" xr:uid="{00000000-0005-0000-0000-00008C180000}"/>
    <cellStyle name="Style 985 10" xfId="2999" xr:uid="{00000000-0005-0000-0000-00008D180000}"/>
    <cellStyle name="Style 985 10 2" xfId="4888" xr:uid="{00000000-0005-0000-0000-00008E180000}"/>
    <cellStyle name="Style 985 11" xfId="3236" xr:uid="{00000000-0005-0000-0000-00008F180000}"/>
    <cellStyle name="Style 985 11 2" xfId="5122" xr:uid="{00000000-0005-0000-0000-000090180000}"/>
    <cellStyle name="Style 985 12" xfId="5358" xr:uid="{00000000-0005-0000-0000-000091180000}"/>
    <cellStyle name="Style 985 12 2" xfId="6818" xr:uid="{00000000-0005-0000-0000-000091180000}"/>
    <cellStyle name="Style 985 13" xfId="5575" xr:uid="{00000000-0005-0000-0000-000092180000}"/>
    <cellStyle name="Style 985 13 2" xfId="6999" xr:uid="{00000000-0005-0000-0000-000092180000}"/>
    <cellStyle name="Style 985 14" xfId="5941" xr:uid="{00000000-0005-0000-0000-000093180000}"/>
    <cellStyle name="Style 985 14 2" xfId="7361" xr:uid="{00000000-0005-0000-0000-000093180000}"/>
    <cellStyle name="Style 985 15" xfId="6432" xr:uid="{00000000-0005-0000-0000-000094180000}"/>
    <cellStyle name="Style 985 15 2" xfId="7710" xr:uid="{00000000-0005-0000-0000-000094180000}"/>
    <cellStyle name="Style 985 2" xfId="546" xr:uid="{00000000-0005-0000-0000-000095180000}"/>
    <cellStyle name="Style 985 2 2" xfId="1019" xr:uid="{00000000-0005-0000-0000-000096180000}"/>
    <cellStyle name="Style 985 2 2 2" xfId="8931" xr:uid="{AAC8854E-5067-4BDA-A4A2-6A2C5413AF0E}"/>
    <cellStyle name="Style 985 2 3" xfId="8930" xr:uid="{F7BDC900-D826-4743-9199-E8A862FAB839}"/>
    <cellStyle name="Style 985 3" xfId="780" xr:uid="{00000000-0005-0000-0000-000097180000}"/>
    <cellStyle name="Style 985 3 2" xfId="1253" xr:uid="{00000000-0005-0000-0000-000098180000}"/>
    <cellStyle name="Style 985 3 3" xfId="8932" xr:uid="{0F16D25D-BFD1-49B2-B3EE-30D91D80C292}"/>
    <cellStyle name="Style 985 4" xfId="1493" xr:uid="{00000000-0005-0000-0000-000099180000}"/>
    <cellStyle name="Style 985 4 2" xfId="3477" xr:uid="{00000000-0005-0000-0000-00009A180000}"/>
    <cellStyle name="Style 985 4 3" xfId="8933" xr:uid="{8303DAF6-786A-4155-80FE-5D6BF801AA89}"/>
    <cellStyle name="Style 985 5" xfId="1788" xr:uid="{00000000-0005-0000-0000-00009B180000}"/>
    <cellStyle name="Style 985 5 2" xfId="3715" xr:uid="{00000000-0005-0000-0000-00009C180000}"/>
    <cellStyle name="Style 985 6" xfId="2039" xr:uid="{00000000-0005-0000-0000-00009D180000}"/>
    <cellStyle name="Style 985 6 2" xfId="3949" xr:uid="{00000000-0005-0000-0000-00009E180000}"/>
    <cellStyle name="Style 985 7" xfId="2283" xr:uid="{00000000-0005-0000-0000-00009F180000}"/>
    <cellStyle name="Style 985 7 2" xfId="4184" xr:uid="{00000000-0005-0000-0000-0000A0180000}"/>
    <cellStyle name="Style 985 8" xfId="2518" xr:uid="{00000000-0005-0000-0000-0000A1180000}"/>
    <cellStyle name="Style 985 8 2" xfId="4419" xr:uid="{00000000-0005-0000-0000-0000A2180000}"/>
    <cellStyle name="Style 985 9" xfId="2765" xr:uid="{00000000-0005-0000-0000-0000A3180000}"/>
    <cellStyle name="Style 985 9 2" xfId="4654" xr:uid="{00000000-0005-0000-0000-0000A4180000}"/>
    <cellStyle name="Style 986" xfId="313" xr:uid="{00000000-0005-0000-0000-0000A5180000}"/>
    <cellStyle name="Style 986 10" xfId="3000" xr:uid="{00000000-0005-0000-0000-0000A6180000}"/>
    <cellStyle name="Style 986 10 2" xfId="4889" xr:uid="{00000000-0005-0000-0000-0000A7180000}"/>
    <cellStyle name="Style 986 11" xfId="3237" xr:uid="{00000000-0005-0000-0000-0000A8180000}"/>
    <cellStyle name="Style 986 11 2" xfId="5123" xr:uid="{00000000-0005-0000-0000-0000A9180000}"/>
    <cellStyle name="Style 986 12" xfId="5359" xr:uid="{00000000-0005-0000-0000-0000AA180000}"/>
    <cellStyle name="Style 986 12 2" xfId="6819" xr:uid="{00000000-0005-0000-0000-0000AA180000}"/>
    <cellStyle name="Style 986 13" xfId="5576" xr:uid="{00000000-0005-0000-0000-0000AB180000}"/>
    <cellStyle name="Style 986 13 2" xfId="7000" xr:uid="{00000000-0005-0000-0000-0000AB180000}"/>
    <cellStyle name="Style 986 14" xfId="5942" xr:uid="{00000000-0005-0000-0000-0000AC180000}"/>
    <cellStyle name="Style 986 14 2" xfId="7362" xr:uid="{00000000-0005-0000-0000-0000AC180000}"/>
    <cellStyle name="Style 986 15" xfId="6433" xr:uid="{00000000-0005-0000-0000-0000AD180000}"/>
    <cellStyle name="Style 986 15 2" xfId="7711" xr:uid="{00000000-0005-0000-0000-0000AD180000}"/>
    <cellStyle name="Style 986 2" xfId="547" xr:uid="{00000000-0005-0000-0000-0000AE180000}"/>
    <cellStyle name="Style 986 2 2" xfId="1020" xr:uid="{00000000-0005-0000-0000-0000AF180000}"/>
    <cellStyle name="Style 986 2 2 2" xfId="8935" xr:uid="{B89AE5DF-A5E5-4620-AF9B-C50D0463D0D5}"/>
    <cellStyle name="Style 986 2 3" xfId="8934" xr:uid="{2A375AD0-6B40-47AD-AD00-E7E7BCA86B24}"/>
    <cellStyle name="Style 986 3" xfId="781" xr:uid="{00000000-0005-0000-0000-0000B0180000}"/>
    <cellStyle name="Style 986 3 2" xfId="1254" xr:uid="{00000000-0005-0000-0000-0000B1180000}"/>
    <cellStyle name="Style 986 3 3" xfId="8936" xr:uid="{2944A2FB-29C9-40C1-9C44-F976C0650F2E}"/>
    <cellStyle name="Style 986 4" xfId="1494" xr:uid="{00000000-0005-0000-0000-0000B2180000}"/>
    <cellStyle name="Style 986 4 2" xfId="3478" xr:uid="{00000000-0005-0000-0000-0000B3180000}"/>
    <cellStyle name="Style 986 4 3" xfId="8937" xr:uid="{8C04114A-B0D5-4F98-9144-16850A9941F2}"/>
    <cellStyle name="Style 986 5" xfId="1789" xr:uid="{00000000-0005-0000-0000-0000B4180000}"/>
    <cellStyle name="Style 986 5 2" xfId="3716" xr:uid="{00000000-0005-0000-0000-0000B5180000}"/>
    <cellStyle name="Style 986 6" xfId="2040" xr:uid="{00000000-0005-0000-0000-0000B6180000}"/>
    <cellStyle name="Style 986 6 2" xfId="3950" xr:uid="{00000000-0005-0000-0000-0000B7180000}"/>
    <cellStyle name="Style 986 7" xfId="2284" xr:uid="{00000000-0005-0000-0000-0000B8180000}"/>
    <cellStyle name="Style 986 7 2" xfId="4185" xr:uid="{00000000-0005-0000-0000-0000B9180000}"/>
    <cellStyle name="Style 986 8" xfId="2519" xr:uid="{00000000-0005-0000-0000-0000BA180000}"/>
    <cellStyle name="Style 986 8 2" xfId="4420" xr:uid="{00000000-0005-0000-0000-0000BB180000}"/>
    <cellStyle name="Style 986 9" xfId="2766" xr:uid="{00000000-0005-0000-0000-0000BC180000}"/>
    <cellStyle name="Style 986 9 2" xfId="4655" xr:uid="{00000000-0005-0000-0000-0000BD180000}"/>
    <cellStyle name="Style 987" xfId="314" xr:uid="{00000000-0005-0000-0000-0000BE180000}"/>
    <cellStyle name="Style 987 10" xfId="3001" xr:uid="{00000000-0005-0000-0000-0000BF180000}"/>
    <cellStyle name="Style 987 10 2" xfId="4890" xr:uid="{00000000-0005-0000-0000-0000C0180000}"/>
    <cellStyle name="Style 987 11" xfId="3238" xr:uid="{00000000-0005-0000-0000-0000C1180000}"/>
    <cellStyle name="Style 987 11 2" xfId="5124" xr:uid="{00000000-0005-0000-0000-0000C2180000}"/>
    <cellStyle name="Style 987 12" xfId="5360" xr:uid="{00000000-0005-0000-0000-0000C3180000}"/>
    <cellStyle name="Style 987 12 2" xfId="6820" xr:uid="{00000000-0005-0000-0000-0000C3180000}"/>
    <cellStyle name="Style 987 13" xfId="5577" xr:uid="{00000000-0005-0000-0000-0000C4180000}"/>
    <cellStyle name="Style 987 13 2" xfId="7001" xr:uid="{00000000-0005-0000-0000-0000C4180000}"/>
    <cellStyle name="Style 987 14" xfId="5943" xr:uid="{00000000-0005-0000-0000-0000C5180000}"/>
    <cellStyle name="Style 987 14 2" xfId="7363" xr:uid="{00000000-0005-0000-0000-0000C5180000}"/>
    <cellStyle name="Style 987 15" xfId="6434" xr:uid="{00000000-0005-0000-0000-0000C6180000}"/>
    <cellStyle name="Style 987 15 2" xfId="7712" xr:uid="{00000000-0005-0000-0000-0000C6180000}"/>
    <cellStyle name="Style 987 2" xfId="548" xr:uid="{00000000-0005-0000-0000-0000C7180000}"/>
    <cellStyle name="Style 987 2 2" xfId="1021" xr:uid="{00000000-0005-0000-0000-0000C8180000}"/>
    <cellStyle name="Style 987 2 2 2" xfId="8939" xr:uid="{20AE7D3B-7253-4B59-BBFD-8B39544FF288}"/>
    <cellStyle name="Style 987 2 3" xfId="8938" xr:uid="{3955EDB8-2F92-48DB-8FE7-42C1B5E3EEFC}"/>
    <cellStyle name="Style 987 3" xfId="782" xr:uid="{00000000-0005-0000-0000-0000C9180000}"/>
    <cellStyle name="Style 987 3 2" xfId="1255" xr:uid="{00000000-0005-0000-0000-0000CA180000}"/>
    <cellStyle name="Style 987 3 3" xfId="8940" xr:uid="{9C242893-0382-4B36-8CBE-C14BE06AC837}"/>
    <cellStyle name="Style 987 4" xfId="1495" xr:uid="{00000000-0005-0000-0000-0000CB180000}"/>
    <cellStyle name="Style 987 4 2" xfId="3479" xr:uid="{00000000-0005-0000-0000-0000CC180000}"/>
    <cellStyle name="Style 987 4 3" xfId="8941" xr:uid="{05032A4E-5ACD-44AA-96FB-7861B1463C66}"/>
    <cellStyle name="Style 987 5" xfId="1790" xr:uid="{00000000-0005-0000-0000-0000CD180000}"/>
    <cellStyle name="Style 987 5 2" xfId="3717" xr:uid="{00000000-0005-0000-0000-0000CE180000}"/>
    <cellStyle name="Style 987 6" xfId="2041" xr:uid="{00000000-0005-0000-0000-0000CF180000}"/>
    <cellStyle name="Style 987 6 2" xfId="3951" xr:uid="{00000000-0005-0000-0000-0000D0180000}"/>
    <cellStyle name="Style 987 7" xfId="2285" xr:uid="{00000000-0005-0000-0000-0000D1180000}"/>
    <cellStyle name="Style 987 7 2" xfId="4186" xr:uid="{00000000-0005-0000-0000-0000D2180000}"/>
    <cellStyle name="Style 987 8" xfId="2520" xr:uid="{00000000-0005-0000-0000-0000D3180000}"/>
    <cellStyle name="Style 987 8 2" xfId="4421" xr:uid="{00000000-0005-0000-0000-0000D4180000}"/>
    <cellStyle name="Style 987 9" xfId="2767" xr:uid="{00000000-0005-0000-0000-0000D5180000}"/>
    <cellStyle name="Style 987 9 2" xfId="4656" xr:uid="{00000000-0005-0000-0000-0000D6180000}"/>
    <cellStyle name="Style 988" xfId="315" xr:uid="{00000000-0005-0000-0000-0000D7180000}"/>
    <cellStyle name="Style 988 10" xfId="3002" xr:uid="{00000000-0005-0000-0000-0000D8180000}"/>
    <cellStyle name="Style 988 10 2" xfId="4891" xr:uid="{00000000-0005-0000-0000-0000D9180000}"/>
    <cellStyle name="Style 988 11" xfId="3239" xr:uid="{00000000-0005-0000-0000-0000DA180000}"/>
    <cellStyle name="Style 988 11 2" xfId="5125" xr:uid="{00000000-0005-0000-0000-0000DB180000}"/>
    <cellStyle name="Style 988 12" xfId="5361" xr:uid="{00000000-0005-0000-0000-0000DC180000}"/>
    <cellStyle name="Style 988 12 2" xfId="6821" xr:uid="{00000000-0005-0000-0000-0000DC180000}"/>
    <cellStyle name="Style 988 13" xfId="5578" xr:uid="{00000000-0005-0000-0000-0000DD180000}"/>
    <cellStyle name="Style 988 13 2" xfId="7002" xr:uid="{00000000-0005-0000-0000-0000DD180000}"/>
    <cellStyle name="Style 988 14" xfId="5944" xr:uid="{00000000-0005-0000-0000-0000DE180000}"/>
    <cellStyle name="Style 988 14 2" xfId="7364" xr:uid="{00000000-0005-0000-0000-0000DE180000}"/>
    <cellStyle name="Style 988 15" xfId="6435" xr:uid="{00000000-0005-0000-0000-0000DF180000}"/>
    <cellStyle name="Style 988 15 2" xfId="7713" xr:uid="{00000000-0005-0000-0000-0000DF180000}"/>
    <cellStyle name="Style 988 2" xfId="549" xr:uid="{00000000-0005-0000-0000-0000E0180000}"/>
    <cellStyle name="Style 988 2 2" xfId="1022" xr:uid="{00000000-0005-0000-0000-0000E1180000}"/>
    <cellStyle name="Style 988 2 2 2" xfId="8943" xr:uid="{8C7B7679-C00B-46D3-BE93-6500DF49FC52}"/>
    <cellStyle name="Style 988 2 3" xfId="8942" xr:uid="{9FFB804F-3AE6-43D3-BE29-3EF25CF3270C}"/>
    <cellStyle name="Style 988 3" xfId="783" xr:uid="{00000000-0005-0000-0000-0000E2180000}"/>
    <cellStyle name="Style 988 3 2" xfId="1256" xr:uid="{00000000-0005-0000-0000-0000E3180000}"/>
    <cellStyle name="Style 988 3 3" xfId="8944" xr:uid="{FCCC703A-916B-4481-8DDB-A46DCDD55BBB}"/>
    <cellStyle name="Style 988 4" xfId="1496" xr:uid="{00000000-0005-0000-0000-0000E4180000}"/>
    <cellStyle name="Style 988 4 2" xfId="3480" xr:uid="{00000000-0005-0000-0000-0000E5180000}"/>
    <cellStyle name="Style 988 4 3" xfId="8945" xr:uid="{669D2B46-631D-4EE3-82A1-9FD8C5D5A4ED}"/>
    <cellStyle name="Style 988 5" xfId="1791" xr:uid="{00000000-0005-0000-0000-0000E6180000}"/>
    <cellStyle name="Style 988 5 2" xfId="3718" xr:uid="{00000000-0005-0000-0000-0000E7180000}"/>
    <cellStyle name="Style 988 6" xfId="2042" xr:uid="{00000000-0005-0000-0000-0000E8180000}"/>
    <cellStyle name="Style 988 6 2" xfId="3952" xr:uid="{00000000-0005-0000-0000-0000E9180000}"/>
    <cellStyle name="Style 988 7" xfId="2286" xr:uid="{00000000-0005-0000-0000-0000EA180000}"/>
    <cellStyle name="Style 988 7 2" xfId="4187" xr:uid="{00000000-0005-0000-0000-0000EB180000}"/>
    <cellStyle name="Style 988 8" xfId="2521" xr:uid="{00000000-0005-0000-0000-0000EC180000}"/>
    <cellStyle name="Style 988 8 2" xfId="4422" xr:uid="{00000000-0005-0000-0000-0000ED180000}"/>
    <cellStyle name="Style 988 9" xfId="2768" xr:uid="{00000000-0005-0000-0000-0000EE180000}"/>
    <cellStyle name="Style 988 9 2" xfId="4657" xr:uid="{00000000-0005-0000-0000-0000EF180000}"/>
    <cellStyle name="Style 989" xfId="316" xr:uid="{00000000-0005-0000-0000-0000F0180000}"/>
    <cellStyle name="Style 989 10" xfId="3003" xr:uid="{00000000-0005-0000-0000-0000F1180000}"/>
    <cellStyle name="Style 989 10 2" xfId="4892" xr:uid="{00000000-0005-0000-0000-0000F2180000}"/>
    <cellStyle name="Style 989 11" xfId="3240" xr:uid="{00000000-0005-0000-0000-0000F3180000}"/>
    <cellStyle name="Style 989 11 2" xfId="5126" xr:uid="{00000000-0005-0000-0000-0000F4180000}"/>
    <cellStyle name="Style 989 12" xfId="5362" xr:uid="{00000000-0005-0000-0000-0000F5180000}"/>
    <cellStyle name="Style 989 12 2" xfId="6822" xr:uid="{00000000-0005-0000-0000-0000F5180000}"/>
    <cellStyle name="Style 989 13" xfId="5579" xr:uid="{00000000-0005-0000-0000-0000F6180000}"/>
    <cellStyle name="Style 989 13 2" xfId="7003" xr:uid="{00000000-0005-0000-0000-0000F6180000}"/>
    <cellStyle name="Style 989 14" xfId="5945" xr:uid="{00000000-0005-0000-0000-0000F7180000}"/>
    <cellStyle name="Style 989 14 2" xfId="7365" xr:uid="{00000000-0005-0000-0000-0000F7180000}"/>
    <cellStyle name="Style 989 15" xfId="6436" xr:uid="{00000000-0005-0000-0000-0000F8180000}"/>
    <cellStyle name="Style 989 15 2" xfId="7714" xr:uid="{00000000-0005-0000-0000-0000F8180000}"/>
    <cellStyle name="Style 989 2" xfId="550" xr:uid="{00000000-0005-0000-0000-0000F9180000}"/>
    <cellStyle name="Style 989 2 2" xfId="1023" xr:uid="{00000000-0005-0000-0000-0000FA180000}"/>
    <cellStyle name="Style 989 2 2 2" xfId="8947" xr:uid="{79120085-EF52-4015-AF6E-F28A5E688959}"/>
    <cellStyle name="Style 989 2 3" xfId="8946" xr:uid="{850618C6-6287-42A2-B383-C371DEB93C5B}"/>
    <cellStyle name="Style 989 3" xfId="784" xr:uid="{00000000-0005-0000-0000-0000FB180000}"/>
    <cellStyle name="Style 989 3 2" xfId="1257" xr:uid="{00000000-0005-0000-0000-0000FC180000}"/>
    <cellStyle name="Style 989 3 3" xfId="8948" xr:uid="{09517773-43A7-4DEA-9F08-CD2257BC72EA}"/>
    <cellStyle name="Style 989 4" xfId="1497" xr:uid="{00000000-0005-0000-0000-0000FD180000}"/>
    <cellStyle name="Style 989 4 2" xfId="3481" xr:uid="{00000000-0005-0000-0000-0000FE180000}"/>
    <cellStyle name="Style 989 4 3" xfId="8949" xr:uid="{F29652A4-3A67-483B-B3B5-1E644479BED4}"/>
    <cellStyle name="Style 989 5" xfId="1792" xr:uid="{00000000-0005-0000-0000-0000FF180000}"/>
    <cellStyle name="Style 989 5 2" xfId="3719" xr:uid="{00000000-0005-0000-0000-000000190000}"/>
    <cellStyle name="Style 989 6" xfId="2043" xr:uid="{00000000-0005-0000-0000-000001190000}"/>
    <cellStyle name="Style 989 6 2" xfId="3953" xr:uid="{00000000-0005-0000-0000-000002190000}"/>
    <cellStyle name="Style 989 7" xfId="2287" xr:uid="{00000000-0005-0000-0000-000003190000}"/>
    <cellStyle name="Style 989 7 2" xfId="4188" xr:uid="{00000000-0005-0000-0000-000004190000}"/>
    <cellStyle name="Style 989 8" xfId="2522" xr:uid="{00000000-0005-0000-0000-000005190000}"/>
    <cellStyle name="Style 989 8 2" xfId="4423" xr:uid="{00000000-0005-0000-0000-000006190000}"/>
    <cellStyle name="Style 989 9" xfId="2769" xr:uid="{00000000-0005-0000-0000-000007190000}"/>
    <cellStyle name="Style 989 9 2" xfId="4658" xr:uid="{00000000-0005-0000-0000-000008190000}"/>
    <cellStyle name="Style 991" xfId="317" xr:uid="{00000000-0005-0000-0000-000009190000}"/>
    <cellStyle name="Style 991 10" xfId="3004" xr:uid="{00000000-0005-0000-0000-00000A190000}"/>
    <cellStyle name="Style 991 10 2" xfId="4893" xr:uid="{00000000-0005-0000-0000-00000B190000}"/>
    <cellStyle name="Style 991 11" xfId="3241" xr:uid="{00000000-0005-0000-0000-00000C190000}"/>
    <cellStyle name="Style 991 11 2" xfId="5127" xr:uid="{00000000-0005-0000-0000-00000D190000}"/>
    <cellStyle name="Style 991 12" xfId="5363" xr:uid="{00000000-0005-0000-0000-00000E190000}"/>
    <cellStyle name="Style 991 12 2" xfId="6823" xr:uid="{00000000-0005-0000-0000-00000E190000}"/>
    <cellStyle name="Style 991 13" xfId="5580" xr:uid="{00000000-0005-0000-0000-00000F190000}"/>
    <cellStyle name="Style 991 13 2" xfId="7004" xr:uid="{00000000-0005-0000-0000-00000F190000}"/>
    <cellStyle name="Style 991 14" xfId="5946" xr:uid="{00000000-0005-0000-0000-000010190000}"/>
    <cellStyle name="Style 991 14 2" xfId="7366" xr:uid="{00000000-0005-0000-0000-000010190000}"/>
    <cellStyle name="Style 991 15" xfId="6437" xr:uid="{00000000-0005-0000-0000-000011190000}"/>
    <cellStyle name="Style 991 15 2" xfId="7715" xr:uid="{00000000-0005-0000-0000-000011190000}"/>
    <cellStyle name="Style 991 2" xfId="551" xr:uid="{00000000-0005-0000-0000-000012190000}"/>
    <cellStyle name="Style 991 2 2" xfId="1024" xr:uid="{00000000-0005-0000-0000-000013190000}"/>
    <cellStyle name="Style 991 2 2 2" xfId="8951" xr:uid="{445F2E0E-5832-4EC3-AD65-9B839D1CF1C6}"/>
    <cellStyle name="Style 991 2 3" xfId="8950" xr:uid="{B25116F2-2BDC-4069-848A-C951E2BDCFCC}"/>
    <cellStyle name="Style 991 3" xfId="785" xr:uid="{00000000-0005-0000-0000-000014190000}"/>
    <cellStyle name="Style 991 3 2" xfId="1258" xr:uid="{00000000-0005-0000-0000-000015190000}"/>
    <cellStyle name="Style 991 3 3" xfId="8952" xr:uid="{776E01C1-4DC3-4889-9AD0-D9643C8B8025}"/>
    <cellStyle name="Style 991 4" xfId="1498" xr:uid="{00000000-0005-0000-0000-000016190000}"/>
    <cellStyle name="Style 991 4 2" xfId="3482" xr:uid="{00000000-0005-0000-0000-000017190000}"/>
    <cellStyle name="Style 991 5" xfId="1793" xr:uid="{00000000-0005-0000-0000-000018190000}"/>
    <cellStyle name="Style 991 5 2" xfId="3720" xr:uid="{00000000-0005-0000-0000-000019190000}"/>
    <cellStyle name="Style 991 6" xfId="2044" xr:uid="{00000000-0005-0000-0000-00001A190000}"/>
    <cellStyle name="Style 991 6 2" xfId="3954" xr:uid="{00000000-0005-0000-0000-00001B190000}"/>
    <cellStyle name="Style 991 7" xfId="2288" xr:uid="{00000000-0005-0000-0000-00001C190000}"/>
    <cellStyle name="Style 991 7 2" xfId="4189" xr:uid="{00000000-0005-0000-0000-00001D190000}"/>
    <cellStyle name="Style 991 8" xfId="2523" xr:uid="{00000000-0005-0000-0000-00001E190000}"/>
    <cellStyle name="Style 991 8 2" xfId="4424" xr:uid="{00000000-0005-0000-0000-00001F190000}"/>
    <cellStyle name="Style 991 9" xfId="2770" xr:uid="{00000000-0005-0000-0000-000020190000}"/>
    <cellStyle name="Style 991 9 2" xfId="4659" xr:uid="{00000000-0005-0000-0000-000021190000}"/>
    <cellStyle name="Style 996" xfId="318" xr:uid="{00000000-0005-0000-0000-000022190000}"/>
    <cellStyle name="Style 996 10" xfId="3005" xr:uid="{00000000-0005-0000-0000-000023190000}"/>
    <cellStyle name="Style 996 10 2" xfId="4894" xr:uid="{00000000-0005-0000-0000-000024190000}"/>
    <cellStyle name="Style 996 11" xfId="3242" xr:uid="{00000000-0005-0000-0000-000025190000}"/>
    <cellStyle name="Style 996 11 2" xfId="5128" xr:uid="{00000000-0005-0000-0000-000026190000}"/>
    <cellStyle name="Style 996 12" xfId="5364" xr:uid="{00000000-0005-0000-0000-000027190000}"/>
    <cellStyle name="Style 996 12 2" xfId="6824" xr:uid="{00000000-0005-0000-0000-000027190000}"/>
    <cellStyle name="Style 996 13" xfId="5712" xr:uid="{00000000-0005-0000-0000-000028190000}"/>
    <cellStyle name="Style 996 13 2" xfId="7132" xr:uid="{00000000-0005-0000-0000-000028190000}"/>
    <cellStyle name="Style 996 14" xfId="5947" xr:uid="{00000000-0005-0000-0000-000029190000}"/>
    <cellStyle name="Style 996 14 2" xfId="7367" xr:uid="{00000000-0005-0000-0000-000029190000}"/>
    <cellStyle name="Style 996 15" xfId="6438" xr:uid="{00000000-0005-0000-0000-00002A190000}"/>
    <cellStyle name="Style 996 15 2" xfId="7716" xr:uid="{00000000-0005-0000-0000-00002A190000}"/>
    <cellStyle name="Style 996 2" xfId="552" xr:uid="{00000000-0005-0000-0000-00002B190000}"/>
    <cellStyle name="Style 996 2 2" xfId="1025" xr:uid="{00000000-0005-0000-0000-00002C190000}"/>
    <cellStyle name="Style 996 2 3" xfId="8953" xr:uid="{4FFEC149-3DA7-4441-9D34-447B2C6606DE}"/>
    <cellStyle name="Style 996 3" xfId="786" xr:uid="{00000000-0005-0000-0000-00002D190000}"/>
    <cellStyle name="Style 996 3 2" xfId="1259" xr:uid="{00000000-0005-0000-0000-00002E190000}"/>
    <cellStyle name="Style 996 3 3" xfId="8954" xr:uid="{DBEB9172-9F1F-4906-92C2-EB7938941E57}"/>
    <cellStyle name="Style 996 4" xfId="1499" xr:uid="{00000000-0005-0000-0000-00002F190000}"/>
    <cellStyle name="Style 996 4 2" xfId="3483" xr:uid="{00000000-0005-0000-0000-000030190000}"/>
    <cellStyle name="Style 996 4 3" xfId="8955" xr:uid="{DD708F95-DF4B-4523-9376-00D39AA3E74B}"/>
    <cellStyle name="Style 996 5" xfId="1794" xr:uid="{00000000-0005-0000-0000-000031190000}"/>
    <cellStyle name="Style 996 5 2" xfId="3721" xr:uid="{00000000-0005-0000-0000-000032190000}"/>
    <cellStyle name="Style 996 6" xfId="2045" xr:uid="{00000000-0005-0000-0000-000033190000}"/>
    <cellStyle name="Style 996 6 2" xfId="3955" xr:uid="{00000000-0005-0000-0000-000034190000}"/>
    <cellStyle name="Style 996 7" xfId="2289" xr:uid="{00000000-0005-0000-0000-000035190000}"/>
    <cellStyle name="Style 996 7 2" xfId="4190" xr:uid="{00000000-0005-0000-0000-000036190000}"/>
    <cellStyle name="Style 996 8" xfId="2524" xr:uid="{00000000-0005-0000-0000-000037190000}"/>
    <cellStyle name="Style 996 8 2" xfId="4425" xr:uid="{00000000-0005-0000-0000-000038190000}"/>
    <cellStyle name="Style 996 9" xfId="2771" xr:uid="{00000000-0005-0000-0000-000039190000}"/>
    <cellStyle name="Style 996 9 2" xfId="4660" xr:uid="{00000000-0005-0000-0000-00003A190000}"/>
    <cellStyle name="Style 997" xfId="319" xr:uid="{00000000-0005-0000-0000-00003B190000}"/>
    <cellStyle name="Style 997 10" xfId="3006" xr:uid="{00000000-0005-0000-0000-00003C190000}"/>
    <cellStyle name="Style 997 10 2" xfId="4895" xr:uid="{00000000-0005-0000-0000-00003D190000}"/>
    <cellStyle name="Style 997 11" xfId="3243" xr:uid="{00000000-0005-0000-0000-00003E190000}"/>
    <cellStyle name="Style 997 11 2" xfId="5129" xr:uid="{00000000-0005-0000-0000-00003F190000}"/>
    <cellStyle name="Style 997 12" xfId="5365" xr:uid="{00000000-0005-0000-0000-000040190000}"/>
    <cellStyle name="Style 997 12 2" xfId="6825" xr:uid="{00000000-0005-0000-0000-000040190000}"/>
    <cellStyle name="Style 997 13" xfId="5713" xr:uid="{00000000-0005-0000-0000-000041190000}"/>
    <cellStyle name="Style 997 13 2" xfId="7133" xr:uid="{00000000-0005-0000-0000-000041190000}"/>
    <cellStyle name="Style 997 14" xfId="5948" xr:uid="{00000000-0005-0000-0000-000042190000}"/>
    <cellStyle name="Style 997 14 2" xfId="7368" xr:uid="{00000000-0005-0000-0000-000042190000}"/>
    <cellStyle name="Style 997 15" xfId="6439" xr:uid="{00000000-0005-0000-0000-000043190000}"/>
    <cellStyle name="Style 997 15 2" xfId="7717" xr:uid="{00000000-0005-0000-0000-000043190000}"/>
    <cellStyle name="Style 997 2" xfId="553" xr:uid="{00000000-0005-0000-0000-000044190000}"/>
    <cellStyle name="Style 997 2 2" xfId="1026" xr:uid="{00000000-0005-0000-0000-000045190000}"/>
    <cellStyle name="Style 997 2 3" xfId="8956" xr:uid="{664D42AF-3013-44EA-8DD6-35864E726ABE}"/>
    <cellStyle name="Style 997 3" xfId="787" xr:uid="{00000000-0005-0000-0000-000046190000}"/>
    <cellStyle name="Style 997 3 2" xfId="1260" xr:uid="{00000000-0005-0000-0000-000047190000}"/>
    <cellStyle name="Style 997 3 3" xfId="8957" xr:uid="{3F8974C5-8F2C-4888-938E-F42D22C9C198}"/>
    <cellStyle name="Style 997 4" xfId="1500" xr:uid="{00000000-0005-0000-0000-000048190000}"/>
    <cellStyle name="Style 997 4 2" xfId="3484" xr:uid="{00000000-0005-0000-0000-000049190000}"/>
    <cellStyle name="Style 997 4 3" xfId="8958" xr:uid="{F35BBD02-3BED-4351-B912-3D86D68F0EB7}"/>
    <cellStyle name="Style 997 5" xfId="1795" xr:uid="{00000000-0005-0000-0000-00004A190000}"/>
    <cellStyle name="Style 997 5 2" xfId="3722" xr:uid="{00000000-0005-0000-0000-00004B190000}"/>
    <cellStyle name="Style 997 6" xfId="2046" xr:uid="{00000000-0005-0000-0000-00004C190000}"/>
    <cellStyle name="Style 997 6 2" xfId="3956" xr:uid="{00000000-0005-0000-0000-00004D190000}"/>
    <cellStyle name="Style 997 7" xfId="2290" xr:uid="{00000000-0005-0000-0000-00004E190000}"/>
    <cellStyle name="Style 997 7 2" xfId="4191" xr:uid="{00000000-0005-0000-0000-00004F190000}"/>
    <cellStyle name="Style 997 8" xfId="2525" xr:uid="{00000000-0005-0000-0000-000050190000}"/>
    <cellStyle name="Style 997 8 2" xfId="4426" xr:uid="{00000000-0005-0000-0000-000051190000}"/>
    <cellStyle name="Style 997 9" xfId="2772" xr:uid="{00000000-0005-0000-0000-000052190000}"/>
    <cellStyle name="Style 997 9 2" xfId="4661" xr:uid="{00000000-0005-0000-0000-000053190000}"/>
    <cellStyle name="Style 998" xfId="320" xr:uid="{00000000-0005-0000-0000-000054190000}"/>
    <cellStyle name="Style 998 10" xfId="3007" xr:uid="{00000000-0005-0000-0000-000055190000}"/>
    <cellStyle name="Style 998 10 2" xfId="4896" xr:uid="{00000000-0005-0000-0000-000056190000}"/>
    <cellStyle name="Style 998 11" xfId="3244" xr:uid="{00000000-0005-0000-0000-000057190000}"/>
    <cellStyle name="Style 998 11 2" xfId="5130" xr:uid="{00000000-0005-0000-0000-000058190000}"/>
    <cellStyle name="Style 998 12" xfId="5366" xr:uid="{00000000-0005-0000-0000-000059190000}"/>
    <cellStyle name="Style 998 12 2" xfId="6826" xr:uid="{00000000-0005-0000-0000-000059190000}"/>
    <cellStyle name="Style 998 13" xfId="5714" xr:uid="{00000000-0005-0000-0000-00005A190000}"/>
    <cellStyle name="Style 998 13 2" xfId="7134" xr:uid="{00000000-0005-0000-0000-00005A190000}"/>
    <cellStyle name="Style 998 14" xfId="5949" xr:uid="{00000000-0005-0000-0000-00005B190000}"/>
    <cellStyle name="Style 998 14 2" xfId="7369" xr:uid="{00000000-0005-0000-0000-00005B190000}"/>
    <cellStyle name="Style 998 15" xfId="6440" xr:uid="{00000000-0005-0000-0000-00005C190000}"/>
    <cellStyle name="Style 998 15 2" xfId="7718" xr:uid="{00000000-0005-0000-0000-00005C190000}"/>
    <cellStyle name="Style 998 2" xfId="554" xr:uid="{00000000-0005-0000-0000-00005D190000}"/>
    <cellStyle name="Style 998 2 2" xfId="1027" xr:uid="{00000000-0005-0000-0000-00005E190000}"/>
    <cellStyle name="Style 998 2 3" xfId="8959" xr:uid="{CC2B69EF-C764-4E77-8968-9142489BAA11}"/>
    <cellStyle name="Style 998 3" xfId="788" xr:uid="{00000000-0005-0000-0000-00005F190000}"/>
    <cellStyle name="Style 998 3 2" xfId="1261" xr:uid="{00000000-0005-0000-0000-000060190000}"/>
    <cellStyle name="Style 998 3 3" xfId="8960" xr:uid="{3D00B9DD-8A33-4396-9E83-06A2F229796E}"/>
    <cellStyle name="Style 998 4" xfId="1501" xr:uid="{00000000-0005-0000-0000-000061190000}"/>
    <cellStyle name="Style 998 4 2" xfId="3485" xr:uid="{00000000-0005-0000-0000-000062190000}"/>
    <cellStyle name="Style 998 4 3" xfId="8961" xr:uid="{F3372482-D2D2-4C75-85B2-8778581F9511}"/>
    <cellStyle name="Style 998 5" xfId="1796" xr:uid="{00000000-0005-0000-0000-000063190000}"/>
    <cellStyle name="Style 998 5 2" xfId="3723" xr:uid="{00000000-0005-0000-0000-000064190000}"/>
    <cellStyle name="Style 998 6" xfId="2047" xr:uid="{00000000-0005-0000-0000-000065190000}"/>
    <cellStyle name="Style 998 6 2" xfId="3957" xr:uid="{00000000-0005-0000-0000-000066190000}"/>
    <cellStyle name="Style 998 7" xfId="2291" xr:uid="{00000000-0005-0000-0000-000067190000}"/>
    <cellStyle name="Style 998 7 2" xfId="4192" xr:uid="{00000000-0005-0000-0000-000068190000}"/>
    <cellStyle name="Style 998 8" xfId="2526" xr:uid="{00000000-0005-0000-0000-000069190000}"/>
    <cellStyle name="Style 998 8 2" xfId="4427" xr:uid="{00000000-0005-0000-0000-00006A190000}"/>
    <cellStyle name="Style 998 9" xfId="2773" xr:uid="{00000000-0005-0000-0000-00006B190000}"/>
    <cellStyle name="Style 998 9 2" xfId="4662" xr:uid="{00000000-0005-0000-0000-00006C190000}"/>
    <cellStyle name="Style 999" xfId="321" xr:uid="{00000000-0005-0000-0000-00006D190000}"/>
    <cellStyle name="Style 999 10" xfId="3008" xr:uid="{00000000-0005-0000-0000-00006E190000}"/>
    <cellStyle name="Style 999 10 2" xfId="4897" xr:uid="{00000000-0005-0000-0000-00006F190000}"/>
    <cellStyle name="Style 999 11" xfId="3245" xr:uid="{00000000-0005-0000-0000-000070190000}"/>
    <cellStyle name="Style 999 11 2" xfId="5131" xr:uid="{00000000-0005-0000-0000-000071190000}"/>
    <cellStyle name="Style 999 12" xfId="5367" xr:uid="{00000000-0005-0000-0000-000072190000}"/>
    <cellStyle name="Style 999 12 2" xfId="6827" xr:uid="{00000000-0005-0000-0000-000072190000}"/>
    <cellStyle name="Style 999 13" xfId="5715" xr:uid="{00000000-0005-0000-0000-000073190000}"/>
    <cellStyle name="Style 999 13 2" xfId="7135" xr:uid="{00000000-0005-0000-0000-000073190000}"/>
    <cellStyle name="Style 999 14" xfId="5950" xr:uid="{00000000-0005-0000-0000-000074190000}"/>
    <cellStyle name="Style 999 14 2" xfId="7370" xr:uid="{00000000-0005-0000-0000-000074190000}"/>
    <cellStyle name="Style 999 15" xfId="6441" xr:uid="{00000000-0005-0000-0000-000075190000}"/>
    <cellStyle name="Style 999 15 2" xfId="7719" xr:uid="{00000000-0005-0000-0000-000075190000}"/>
    <cellStyle name="Style 999 2" xfId="555" xr:uid="{00000000-0005-0000-0000-000076190000}"/>
    <cellStyle name="Style 999 2 2" xfId="1028" xr:uid="{00000000-0005-0000-0000-000077190000}"/>
    <cellStyle name="Style 999 2 3" xfId="8962" xr:uid="{24191F8F-9296-46B0-9616-115F3D84E206}"/>
    <cellStyle name="Style 999 3" xfId="789" xr:uid="{00000000-0005-0000-0000-000078190000}"/>
    <cellStyle name="Style 999 3 2" xfId="1262" xr:uid="{00000000-0005-0000-0000-000079190000}"/>
    <cellStyle name="Style 999 3 3" xfId="8963" xr:uid="{A38F1F74-76A3-4C12-8C3F-E416495A2271}"/>
    <cellStyle name="Style 999 4" xfId="1502" xr:uid="{00000000-0005-0000-0000-00007A190000}"/>
    <cellStyle name="Style 999 4 2" xfId="3486" xr:uid="{00000000-0005-0000-0000-00007B190000}"/>
    <cellStyle name="Style 999 4 3" xfId="8964" xr:uid="{0019443F-3C43-4B3E-AF18-D51D01F196E4}"/>
    <cellStyle name="Style 999 5" xfId="1797" xr:uid="{00000000-0005-0000-0000-00007C190000}"/>
    <cellStyle name="Style 999 5 2" xfId="3724" xr:uid="{00000000-0005-0000-0000-00007D190000}"/>
    <cellStyle name="Style 999 6" xfId="2048" xr:uid="{00000000-0005-0000-0000-00007E190000}"/>
    <cellStyle name="Style 999 6 2" xfId="3958" xr:uid="{00000000-0005-0000-0000-00007F190000}"/>
    <cellStyle name="Style 999 7" xfId="2292" xr:uid="{00000000-0005-0000-0000-000080190000}"/>
    <cellStyle name="Style 999 7 2" xfId="4193" xr:uid="{00000000-0005-0000-0000-000081190000}"/>
    <cellStyle name="Style 999 8" xfId="2527" xr:uid="{00000000-0005-0000-0000-000082190000}"/>
    <cellStyle name="Style 999 8 2" xfId="4428" xr:uid="{00000000-0005-0000-0000-000083190000}"/>
    <cellStyle name="Style 999 9" xfId="2774" xr:uid="{00000000-0005-0000-0000-000084190000}"/>
    <cellStyle name="Style 999 9 2" xfId="4663" xr:uid="{00000000-0005-0000-0000-000085190000}"/>
    <cellStyle name="StyleBold" xfId="8965" xr:uid="{ECFE43CB-EAA0-408F-8302-FC4785DC8975}"/>
    <cellStyle name="StyleHead" xfId="8966" xr:uid="{48FCD20B-0B4D-4CFA-93C3-783E10A461B0}"/>
    <cellStyle name="StyleHead 2" xfId="9334" xr:uid="{A61DF269-3F46-452E-BA92-3AA76DA7C290}"/>
    <cellStyle name="StyleRP" xfId="8967" xr:uid="{01015A67-EB6F-4A40-AEBD-714E0B687DC0}"/>
    <cellStyle name="StyleSum" xfId="8968" xr:uid="{EA138ED8-3C00-4ECB-9D1F-7EC02BEE1BF3}"/>
    <cellStyle name="StyleSum 2" xfId="8969" xr:uid="{B414D057-D264-4AD1-A780-2C9B13716427}"/>
    <cellStyle name="StyleSum 2 2" xfId="9336" xr:uid="{433963DE-04F8-4557-A7BC-FED9C4276797}"/>
    <cellStyle name="StyleSum 3" xfId="9335" xr:uid="{6C1EDC8E-2652-41B9-A506-9FA3279D9E65}"/>
    <cellStyle name="StyleWhiteBg" xfId="8970" xr:uid="{1E1B2EA0-D145-417C-A77D-C4034B040456}"/>
    <cellStyle name="Title" xfId="3" builtinId="15" customBuiltin="1"/>
    <cellStyle name="Title 2" xfId="45" xr:uid="{00000000-0005-0000-0000-000087190000}"/>
    <cellStyle name="Title 2 2" xfId="8971" xr:uid="{FABC72A3-BF2A-4659-B9EF-190229113EAE}"/>
    <cellStyle name="Title 3" xfId="1504" xr:uid="{00000000-0005-0000-0000-000088190000}"/>
    <cellStyle name="Title 4" xfId="5581" xr:uid="{00000000-0005-0000-0000-000089190000}"/>
    <cellStyle name="Title 5" xfId="6041" xr:uid="{00000000-0005-0000-0000-00008A190000}"/>
    <cellStyle name="Title 5 2" xfId="7461" xr:uid="{00000000-0005-0000-0000-00008A190000}"/>
    <cellStyle name="Title 6" xfId="6065" xr:uid="{00000000-0005-0000-0000-00008B190000}"/>
    <cellStyle name="Total" xfId="19" builtinId="25" customBuiltin="1"/>
    <cellStyle name="Total 2" xfId="61" xr:uid="{00000000-0005-0000-0000-00008D190000}"/>
    <cellStyle name="Total 2 2" xfId="8972" xr:uid="{869EE2B2-D79E-45F1-A30E-D34820C45853}"/>
    <cellStyle name="Total 3" xfId="1520" xr:uid="{00000000-0005-0000-0000-00008E190000}"/>
    <cellStyle name="Total 4" xfId="5582" xr:uid="{00000000-0005-0000-0000-00008F190000}"/>
    <cellStyle name="Total 5" xfId="6042" xr:uid="{00000000-0005-0000-0000-000090190000}"/>
    <cellStyle name="Total 5 2" xfId="7462" xr:uid="{00000000-0005-0000-0000-000090190000}"/>
    <cellStyle name="Total 6" xfId="6081" xr:uid="{00000000-0005-0000-0000-000091190000}"/>
    <cellStyle name="Überschrift 1 2" xfId="9358" xr:uid="{FDE77EB9-B9DD-4BB2-8922-F93946276FDE}"/>
    <cellStyle name="Überschrift 2 2" xfId="9359" xr:uid="{675F8A9D-41C1-4805-97A3-FE4C27354DD8}"/>
    <cellStyle name="Überschrift 3 2" xfId="9360" xr:uid="{9678F75F-7F0B-46D9-906A-FDAD976D48D2}"/>
    <cellStyle name="Überschrift 4 2" xfId="9361" xr:uid="{46635A20-925D-44FA-A452-C36E471F25FC}"/>
    <cellStyle name="Überschrift 5" xfId="9362" xr:uid="{B3378CE0-D567-4F55-B968-B969A8DE210D}"/>
    <cellStyle name="Verknüpfte Zelle 2" xfId="9363" xr:uid="{623B2513-E965-433A-BA50-AE7606DA7B72}"/>
    <cellStyle name="Währung 10" xfId="9202" xr:uid="{20DCD381-8CEF-48E3-91E5-07485C44D0F4}"/>
    <cellStyle name="Währung 2" xfId="8973" xr:uid="{5F86EF07-BE0D-4A98-9BBE-9D12106C780A}"/>
    <cellStyle name="Währung 2 10" xfId="9388" xr:uid="{29294B38-7390-4115-9A33-8F113934D52F}"/>
    <cellStyle name="Währung 2 2" xfId="8974" xr:uid="{8AADA2B7-5C5E-4673-97A1-FF65B393EB1D}"/>
    <cellStyle name="Währung 2 2 2" xfId="8975" xr:uid="{7DD5DE9C-3BF5-4E75-A47D-4A440063D6D9}"/>
    <cellStyle name="Währung 2 2 2 2" xfId="9174" xr:uid="{8045B975-163A-4C0B-BCD4-ADA75FEBCE8E}"/>
    <cellStyle name="Währung 2 2 2 2 2" xfId="9402" xr:uid="{CE6E3D5D-25B0-4890-A754-E49A7C7C6827}"/>
    <cellStyle name="Währung 2 2 2 3" xfId="9270" xr:uid="{8CBD993D-C7BA-401D-A191-D8DC0BCA2033}"/>
    <cellStyle name="Währung 2 2 2 3 2" xfId="9423" xr:uid="{0F59F5C3-A27C-42DC-A461-C4243B59095B}"/>
    <cellStyle name="Währung 2 2 2 4" xfId="9390" xr:uid="{9F3D3A87-B9F7-416B-9059-48D8A5B8131E}"/>
    <cellStyle name="Währung 2 2 3" xfId="9175" xr:uid="{A74D809E-C9B0-4565-B86A-F8EB6F1F47CE}"/>
    <cellStyle name="Währung 2 2 3 2" xfId="9303" xr:uid="{F5B0B117-1F50-4877-B198-0ACE4BC2EA58}"/>
    <cellStyle name="Währung 2 2 3 2 2" xfId="9429" xr:uid="{B481BDDD-D456-4E4F-9D4C-C9B040280A18}"/>
    <cellStyle name="Währung 2 2 3 3" xfId="9403" xr:uid="{686C98CB-F109-469C-B456-071DB96A28CD}"/>
    <cellStyle name="Währung 2 2 4" xfId="9176" xr:uid="{799ACEA7-C8F6-4935-84D7-D39710BFB17F}"/>
    <cellStyle name="Währung 2 2 4 2" xfId="9333" xr:uid="{2E6A8C32-87D0-4A6B-A379-464D304F1369}"/>
    <cellStyle name="Währung 2 2 4 2 2" xfId="9432" xr:uid="{19867E43-8000-4BD2-8561-64982DF52E53}"/>
    <cellStyle name="Währung 2 2 4 3" xfId="9404" xr:uid="{FD71ADEA-0745-404A-A6A8-07B6DE305968}"/>
    <cellStyle name="Währung 2 2 5" xfId="9177" xr:uid="{A8DF9CB9-5B00-42EA-8D47-755A7200ACDF}"/>
    <cellStyle name="Währung 2 2 5 2" xfId="9405" xr:uid="{7BE35291-F133-4BCE-B017-9075A4616A2D}"/>
    <cellStyle name="Währung 2 2 6" xfId="9233" xr:uid="{4F6BCCF3-EFA9-412C-9700-05601E1DDE53}"/>
    <cellStyle name="Währung 2 2 6 2" xfId="9422" xr:uid="{327A9A78-FA98-4546-9119-FCD75072A938}"/>
    <cellStyle name="Währung 2 2 7" xfId="9389" xr:uid="{F2DBF3C4-1F4D-46FC-A2F1-578AD8C539AF}"/>
    <cellStyle name="Währung 2 3" xfId="8976" xr:uid="{CABEE12E-C40D-4477-BBBB-A99916AE0B17}"/>
    <cellStyle name="Währung 2 3 2" xfId="9178" xr:uid="{C936E9BA-ADBA-43A9-80A2-43E6E5105037}"/>
    <cellStyle name="Währung 2 3 2 2" xfId="9179" xr:uid="{7FEF12F2-2760-49A5-975A-65930859DEAF}"/>
    <cellStyle name="Währung 2 3 2 2 2" xfId="9407" xr:uid="{7BCE633E-61C7-43E7-AA3E-848431C4BBDC}"/>
    <cellStyle name="Währung 2 3 2 3" xfId="9271" xr:uid="{54188699-BC9A-4439-998B-C3AC4F671062}"/>
    <cellStyle name="Währung 2 3 2 3 2" xfId="9424" xr:uid="{5B3B37D6-D75B-405F-9392-ADCE1164F80D}"/>
    <cellStyle name="Währung 2 3 2 4" xfId="9406" xr:uid="{1FB4A8A1-DEA2-4A35-91DB-C518EA70AEEC}"/>
    <cellStyle name="Währung 2 3 3" xfId="9180" xr:uid="{6F193C51-B982-4583-9F5F-34A1BB2D8B17}"/>
    <cellStyle name="Währung 2 3 3 2" xfId="9293" xr:uid="{C55F7751-7D61-4847-BDB2-F54B5906D28C}"/>
    <cellStyle name="Währung 2 3 3 2 2" xfId="9428" xr:uid="{7F543D36-2ADE-4109-8729-2514989B4C82}"/>
    <cellStyle name="Währung 2 3 3 3" xfId="9408" xr:uid="{2780B75D-F48B-4357-B271-E8D42C4CEB61}"/>
    <cellStyle name="Währung 2 3 4" xfId="9181" xr:uid="{BE0E1A74-E415-4661-ABDF-C7C433EE9E43}"/>
    <cellStyle name="Währung 2 3 4 2" xfId="9323" xr:uid="{8584CDEF-2836-4F99-93E5-41AD4B8CC9D6}"/>
    <cellStyle name="Währung 2 3 4 2 2" xfId="9431" xr:uid="{3F37A5E4-1D8F-416B-BFC5-096188C00644}"/>
    <cellStyle name="Währung 2 3 4 3" xfId="9409" xr:uid="{9BC5000B-1450-4BA8-B651-5D9668B3A36F}"/>
    <cellStyle name="Währung 2 3 5" xfId="9182" xr:uid="{83A9F66D-64FA-4572-8FE3-1190D3232EB4}"/>
    <cellStyle name="Währung 2 3 5 2" xfId="9410" xr:uid="{13EA32FC-70B8-481E-945B-86164EE003C9}"/>
    <cellStyle name="Währung 2 3 6" xfId="9223" xr:uid="{F6D912D1-9198-46B6-A086-0F983B8CD119}"/>
    <cellStyle name="Währung 2 3 6 2" xfId="9421" xr:uid="{937C593D-6DB4-4A19-8627-798CF8B3C545}"/>
    <cellStyle name="Währung 2 3 7" xfId="9391" xr:uid="{7B6C967C-0BE9-42D1-AFF1-977CACDA1A75}"/>
    <cellStyle name="Währung 2 4" xfId="9183" xr:uid="{7EB3F84B-4132-446A-8CE8-C0634F6D7074}"/>
    <cellStyle name="Währung 2 4 2" xfId="9184" xr:uid="{8026FE70-B3FC-461B-B5C5-D6FF6384EC0C}"/>
    <cellStyle name="Währung 2 4 2 2" xfId="9412" xr:uid="{C2204465-AD3C-4404-82F7-2EE876A11A96}"/>
    <cellStyle name="Währung 2 4 3" xfId="9272" xr:uid="{F61306BC-243A-49F9-B215-EA5751EFFD69}"/>
    <cellStyle name="Währung 2 4 3 2" xfId="9425" xr:uid="{9DFFD505-30E4-474C-8E10-1463F067E0C0}"/>
    <cellStyle name="Währung 2 4 4" xfId="9411" xr:uid="{AD88E6D4-89A3-49AC-B93A-DADD8EC7C2CB}"/>
    <cellStyle name="Währung 2 5" xfId="9185" xr:uid="{6A24E06F-5A9E-4BAE-A9F1-0F5B1290EFC1}"/>
    <cellStyle name="Währung 2 5 2" xfId="9186" xr:uid="{94ED91D7-C93A-4ECA-B5A3-9417272E9199}"/>
    <cellStyle name="Währung 2 5 2 2" xfId="9414" xr:uid="{F74DF787-E14D-4892-8AE6-0CD07F7E150D}"/>
    <cellStyle name="Währung 2 5 3" xfId="9273" xr:uid="{798654E8-A6F2-4702-8FCC-DEAA0DA77295}"/>
    <cellStyle name="Währung 2 5 3 2" xfId="9426" xr:uid="{C837379F-4700-4DF5-AD1D-035F77F8BE30}"/>
    <cellStyle name="Währung 2 5 4" xfId="9413" xr:uid="{026F8383-9C19-4631-9656-94E348BC4FDD}"/>
    <cellStyle name="Währung 2 6" xfId="9187" xr:uid="{FF7E4510-4627-4F33-8F93-5FB0299C221A}"/>
    <cellStyle name="Währung 2 6 2" xfId="9283" xr:uid="{D8071AEB-F29D-4F73-8318-1C9BEBD4752A}"/>
    <cellStyle name="Währung 2 6 2 2" xfId="9427" xr:uid="{F3581EA0-8E61-4AB3-9255-4D4B7353F3D5}"/>
    <cellStyle name="Währung 2 6 3" xfId="9415" xr:uid="{F55CF8DF-CD0B-43A7-8601-2D34409F0B25}"/>
    <cellStyle name="Währung 2 7" xfId="9188" xr:uid="{328E56C3-4F1D-4A16-A008-E585259C5C82}"/>
    <cellStyle name="Währung 2 7 2" xfId="9313" xr:uid="{C1BFD23B-8852-4C9C-A9FA-B4CD1230EFEC}"/>
    <cellStyle name="Währung 2 7 2 2" xfId="9430" xr:uid="{45CBE01A-C3CF-4EA4-B797-F965F69E00E7}"/>
    <cellStyle name="Währung 2 7 3" xfId="9416" xr:uid="{72118B1D-FA81-4D06-8319-022E6B56B014}"/>
    <cellStyle name="Währung 2 8" xfId="9189" xr:uid="{B431C8C8-9DCC-4095-B4E3-CB3E70E00CDB}"/>
    <cellStyle name="Währung 2 8 2" xfId="9417" xr:uid="{078C91FC-3673-449D-8A1D-58E61FF745B1}"/>
    <cellStyle name="Währung 2 9" xfId="9213" xr:uid="{D1331372-5012-40B2-9EB6-C02322F422F1}"/>
    <cellStyle name="Währung 2 9 2" xfId="9420" xr:uid="{EDF10E8C-9940-49EE-9A05-86570902AA5D}"/>
    <cellStyle name="Währung 3" xfId="8977" xr:uid="{3F44EE67-CE61-403F-A37C-152D0883D33A}"/>
    <cellStyle name="Währung 3 2" xfId="8978" xr:uid="{71D5FC7F-B3AD-4CB7-8886-6BAA41DCE4EA}"/>
    <cellStyle name="Währung 3 2 2" xfId="9393" xr:uid="{28453980-AA82-4DBD-8C35-EAB564FB3B3D}"/>
    <cellStyle name="Währung 3 3" xfId="9210" xr:uid="{DC6E246F-6CBB-497D-B309-1A0E2BD446BE}"/>
    <cellStyle name="Währung 3 3 2" xfId="9419" xr:uid="{92041D8E-1658-4804-843F-1E122CF15080}"/>
    <cellStyle name="Währung 3 4" xfId="9392" xr:uid="{FCF47777-78AD-4E81-935A-464FE4215429}"/>
    <cellStyle name="Währung 4" xfId="8979" xr:uid="{86529256-6267-4FD8-97C5-0E0D6FA516BC}"/>
    <cellStyle name="Währung 4 2" xfId="8980" xr:uid="{1DA3D2EC-F8E1-427F-A1CA-9E2DE97FC3E5}"/>
    <cellStyle name="Währung 4 2 2" xfId="9395" xr:uid="{DD66BAB5-ED1B-4D1E-9139-6BEF28F1B128}"/>
    <cellStyle name="Währung 4 3" xfId="9394" xr:uid="{A3ADA861-F2BC-46CC-BC9F-437491BD2387}"/>
    <cellStyle name="Währung 5" xfId="8981" xr:uid="{3DA3FB41-DC89-4574-9FBC-683D44F5D9AC}"/>
    <cellStyle name="Währung 5 2" xfId="8982" xr:uid="{91B96C17-64ED-44B0-A1F7-CCF7494044E1}"/>
    <cellStyle name="Währung 5 2 2" xfId="9397" xr:uid="{1F181188-F4CF-49A7-A90B-04F74341E1CC}"/>
    <cellStyle name="Währung 5 3" xfId="9396" xr:uid="{98E37B97-2F8A-45CD-9E82-08786C93472E}"/>
    <cellStyle name="Währung 6" xfId="8983" xr:uid="{5E9FF380-A95D-4801-B12E-43BF38A93424}"/>
    <cellStyle name="Währung 6 2" xfId="8984" xr:uid="{C623BF96-F7F0-4C9D-9A58-DA77AEB685C4}"/>
    <cellStyle name="Währung 6 2 2" xfId="9399" xr:uid="{9C4E0E61-1BD3-4B56-959F-9C3F0C644C5D}"/>
    <cellStyle name="Währung 6 3" xfId="9398" xr:uid="{F7D7019A-9B46-45F3-9464-D56113660441}"/>
    <cellStyle name="Währung 7" xfId="8985" xr:uid="{B9FBF59B-4179-478E-8D71-38E530782306}"/>
    <cellStyle name="Währung 7 2" xfId="9400" xr:uid="{6222A8F0-0FD2-4033-9132-A323B40F78E3}"/>
    <cellStyle name="Währung 8" xfId="8986" xr:uid="{C1FC2EAB-F1DF-41BE-B1AA-C665CE02D127}"/>
    <cellStyle name="Währung 8 2" xfId="9401" xr:uid="{8FE2FADB-BF11-4FC9-9B61-832C4C6DCD36}"/>
    <cellStyle name="Währung 9" xfId="9200" xr:uid="{59115D6C-AEBE-4CD5-AFAF-C602679C081B}"/>
    <cellStyle name="Währung 9 2" xfId="9418" xr:uid="{6A76CB25-B6A4-4184-A7C0-095A789EDAEB}"/>
    <cellStyle name="Warnender Text 2" xfId="9364" xr:uid="{9EE0AE97-276B-4107-B2E6-0858328F8FB2}"/>
    <cellStyle name="Warning Text" xfId="16" builtinId="11" customBuiltin="1"/>
    <cellStyle name="Warning Text 2" xfId="58" xr:uid="{00000000-0005-0000-0000-000093190000}"/>
    <cellStyle name="Warning Text 2 2" xfId="8988" xr:uid="{88857A04-373B-4447-AFDD-BE80987C274D}"/>
    <cellStyle name="Warning Text 3" xfId="1517" xr:uid="{00000000-0005-0000-0000-000094190000}"/>
    <cellStyle name="Warning Text 4" xfId="5583" xr:uid="{00000000-0005-0000-0000-000095190000}"/>
    <cellStyle name="Warning Text 5" xfId="6043" xr:uid="{00000000-0005-0000-0000-000096190000}"/>
    <cellStyle name="Warning Text 5 2" xfId="7463" xr:uid="{00000000-0005-0000-0000-000096190000}"/>
    <cellStyle name="Warning Text 6" xfId="6078" xr:uid="{00000000-0005-0000-0000-000097190000}"/>
    <cellStyle name="Zelle überprüfen 2" xfId="9365" xr:uid="{44E0B0A6-0CD7-4E53-88EE-692D5E41FB22}"/>
  </cellStyles>
  <dxfs count="31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numFmt numFmtId="195" formatCode="dd/\ mmm\ 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85046</xdr:colOff>
      <xdr:row>4</xdr:row>
      <xdr:rowOff>17010</xdr:rowOff>
    </xdr:from>
    <xdr:to>
      <xdr:col>0</xdr:col>
      <xdr:colOff>3654766</xdr:colOff>
      <xdr:row>18</xdr:row>
      <xdr:rowOff>122539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0B8F431-8831-4215-8066-6C2359BB7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46" y="1462769"/>
          <a:ext cx="3563370" cy="3949547"/>
        </a:xfrm>
        <a:prstGeom prst="rect">
          <a:avLst/>
        </a:prstGeom>
      </xdr:spPr>
    </xdr:pic>
    <xdr:clientData/>
  </xdr:twoCellAnchor>
  <xdr:twoCellAnchor editAs="oneCell">
    <xdr:from>
      <xdr:col>0</xdr:col>
      <xdr:colOff>110560</xdr:colOff>
      <xdr:row>35</xdr:row>
      <xdr:rowOff>127567</xdr:rowOff>
    </xdr:from>
    <xdr:to>
      <xdr:col>0</xdr:col>
      <xdr:colOff>3827009</xdr:colOff>
      <xdr:row>51</xdr:row>
      <xdr:rowOff>167572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A652A97-DF03-40C5-A00A-358A2C50B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60" y="10324420"/>
          <a:ext cx="3716449" cy="3253673"/>
        </a:xfrm>
        <a:prstGeom prst="rect">
          <a:avLst/>
        </a:prstGeom>
      </xdr:spPr>
    </xdr:pic>
    <xdr:clientData/>
  </xdr:twoCellAnchor>
  <xdr:twoCellAnchor editAs="oneCell">
    <xdr:from>
      <xdr:col>0</xdr:col>
      <xdr:colOff>4065136</xdr:colOff>
      <xdr:row>31</xdr:row>
      <xdr:rowOff>799420</xdr:rowOff>
    </xdr:from>
    <xdr:to>
      <xdr:col>2</xdr:col>
      <xdr:colOff>35745</xdr:colOff>
      <xdr:row>55</xdr:row>
      <xdr:rowOff>131339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C7E2282-338B-41C9-B1F8-D4AF024E2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65136" y="11222491"/>
          <a:ext cx="3573575" cy="48836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6D47C2-B9A3-4A5D-A73B-89FC2B948616}" name="Table1" displayName="Table1" ref="A1:BX1048576" totalsRowShown="0">
  <autoFilter ref="A1:BX1048576" xr:uid="{45635CFA-D90C-44F4-9FDB-9E3DE593821C}"/>
  <tableColumns count="76">
    <tableColumn id="1" xr3:uid="{F519EE43-5AEC-40CA-B4E3-F4CB1348B75B}" name="GPAGEID"/>
    <tableColumn id="2" xr3:uid="{B80FB8F1-C785-478A-9469-52D89CCD89D3}" name="REC_TYPE"/>
    <tableColumn id="3" xr3:uid="{2D12B810-46CA-40EF-B70F-BD5620A58D6D}" name="REC_TYPE_DESC"/>
    <tableColumn id="4" xr3:uid="{ECFCADB1-B557-4BCE-81C0-E9AD95E1D198}" name="SUMNO_ROOMSPERREC_TYPE"/>
    <tableColumn id="5" xr3:uid="{62317306-8ADD-4E2E-AE77-CBE3C4253B97}" name="SUMCALC_OCCROOMSPERREC_TYPE"/>
    <tableColumn id="6" xr3:uid="{4D1F86B6-52F5-42B3-B7BD-7E6868182972}" name="SUMCALC_INVROOMSPERREC_TYPE"/>
    <tableColumn id="7" xr3:uid="{11A7FAA5-D742-4A59-8D9E-972CA65FB9C1}" name="SUMARRIVAL_ROOMSPERREC_TYPE"/>
    <tableColumn id="8" xr3:uid="{58A82D1B-0A03-44A8-82D6-6F68ED2A1C88}" name="SUMCOMPLIMENTARY_ROOMSPERREC_T"/>
    <tableColumn id="9" xr3:uid="{F105B184-309D-44F4-9253-B282F9AD5AF8}" name="SUMHOUSE_USE_ROOMSPERREC_TYPE"/>
    <tableColumn id="10" xr3:uid="{7C3873BC-14AF-435C-8AE4-2B8E0AECA044}" name="SUMDAY_USE_ROOMSPERREC_TYPE"/>
    <tableColumn id="11" xr3:uid="{14EC606A-ED62-48DC-BA8F-0C4E15C19116}" name="SUMNO_SHOW_ROOMSPERREC_TYPE"/>
    <tableColumn id="12" xr3:uid="{3DD02EC6-CCC4-4064-A91C-8290275B2906}" name="SUMIND_DEDUCT_ROOMSPERREC_TYPE"/>
    <tableColumn id="13" xr3:uid="{033CE640-6CD1-4383-8925-C7DDFE252DC0}" name="SUMIND_NON_DEDUCT_ROOMSPERREC_"/>
    <tableColumn id="14" xr3:uid="{A6DD8AB0-7C3B-4E91-9ECE-752FA13492B2}" name="SUMGRP_DEDUCT_ROOMSPERREC_TYPE"/>
    <tableColumn id="15" xr3:uid="{435335E5-A40D-43E7-97E9-35A37B06F1A1}" name="SUMGRP_NON_DEDUCT_ROOMSPERREC_"/>
    <tableColumn id="16" xr3:uid="{91A5E6CB-A5B7-4DA2-8712-6D8D9E6EC5FD}" name="SUMDEPARTURE_ROOMSPERREC_TYPE"/>
    <tableColumn id="17" xr3:uid="{60D45100-8BCB-45F3-ADBA-F90B4D8C407B}" name="SUMOOO_ROOMSPERREC_TYPE"/>
    <tableColumn id="18" xr3:uid="{8328B277-809A-465A-B735-16B383075B8D}" name="SUMNO_PERSONSPERREC_TYPE"/>
    <tableColumn id="19" xr3:uid="{FA432F7B-FA9B-4A91-A4E5-736D88DAE0EC}" name="SUMINVENTORY_ROOMSPERREC_TYPE"/>
    <tableColumn id="20" xr3:uid="{672FEEA6-75C4-46FE-8567-041F53A03F07}" name="SUMREVENUEPERREC_TYPE"/>
    <tableColumn id="21" xr3:uid="{1163E5D1-9E07-4CB6-A11E-71133B0B79BE}" name="SUMOWNER_ROOMSPERREC_TYPE"/>
    <tableColumn id="22" xr3:uid="{735C2759-4959-4B2D-A0A6-05F5D977FEF6}" name="SUMFF_ROOMSPERREC_TYPE"/>
    <tableColumn id="23" xr3:uid="{1384B0DE-C770-410E-8418-5D4DD0766EC2}" name="CF_AVERAGE_ROOM_RATE_REC_TYPE"/>
    <tableColumn id="24" xr3:uid="{465A9A25-706B-4CC9-9087-CFCB978238DD}" name="CF_OCCUPANCY_REC_TYPE"/>
    <tableColumn id="25" xr3:uid="{2FF026DF-55FF-4A24-92C1-80DD3F7A7486}" name="REVENUE"/>
    <tableColumn id="26" xr3:uid="{187D541A-12EA-4576-9EE0-6FDAAF8E9EDA}" name="NO_ROOMS"/>
    <tableColumn id="27" xr3:uid="{BECDDC46-E7DE-4787-9BA7-1E8ADD688B90}" name="IND_DEDUCT_ROOMS"/>
    <tableColumn id="28" xr3:uid="{49146109-E547-4729-B3D2-0206DE425578}" name="IND_NON_DEDUCT_ROOMS"/>
    <tableColumn id="29" xr3:uid="{95185431-A940-4CB4-A032-DD3EE1AC5357}" name="GRP_DEDUCT_ROOMS"/>
    <tableColumn id="30" xr3:uid="{A6A317A1-349D-43C7-B31B-525B2246983B}" name="GRP_NON_DEDUCT_ROOMS"/>
    <tableColumn id="31" xr3:uid="{08BE14E1-77BF-4D8F-94D7-5A1A3E1CF4DB}" name="NO_PERSONS"/>
    <tableColumn id="32" xr3:uid="{2E2081F9-990D-4461-A91B-E6277BA20D9D}" name="ARRIVAL_ROOMS"/>
    <tableColumn id="33" xr3:uid="{DAC56155-3408-4F17-8A95-5629D2EB0A64}" name="DEPARTURE_ROOMS"/>
    <tableColumn id="34" xr3:uid="{D2550FCB-374F-4B10-8222-EEB45DF1071E}" name="COMPLIMENTARY_ROOMS"/>
    <tableColumn id="35" xr3:uid="{D75B3886-7CE8-4D4E-85AB-DB2EE2B4533C}" name="HOUSE_USE_ROOMS"/>
    <tableColumn id="36" xr3:uid="{A8BF9B78-480C-489F-9109-E8D3B93AB451}" name="DAY_USE_ROOMS"/>
    <tableColumn id="37" xr3:uid="{C55A58C2-063B-4A32-ABBE-53EEFE8916C6}" name="NO_SHOW_ROOMS"/>
    <tableColumn id="38" xr3:uid="{BFC14C31-BE0D-4379-A196-EAD1D56704DF}" name="INVENTORY_ROOMS"/>
    <tableColumn id="39" xr3:uid="{32ED1760-DD1F-4B8D-9DD0-7E738496527C}" name="CONSIDERED_DATE" dataDxfId="30"/>
    <tableColumn id="40" xr3:uid="{6ABC3387-7D7A-4058-A397-4A6C0E5850FE}" name="CHAR_CONSIDERED_DATE"/>
    <tableColumn id="41" xr3:uid="{D5188E8A-A79D-4513-9535-726C292793A7}" name="IND_DEDUCT_REVENUE"/>
    <tableColumn id="42" xr3:uid="{BAEA8382-12CB-4053-9F0A-5C34524FC383}" name="IND_NON_DEDUCT_REVENUE"/>
    <tableColumn id="43" xr3:uid="{6D72E762-62DE-45CD-95EF-EA75A0C45176}" name="GRP_NON_DEDUCT_REVENUE"/>
    <tableColumn id="44" xr3:uid="{56A87807-E7EE-41DA-A027-851F0CA8A746}" name="GRP_DEDUCT_REVENUE"/>
    <tableColumn id="45" xr3:uid="{F5BEAB9E-38A1-4C9A-A764-255AF6ECBF9F}" name="OWNER_ROOMS"/>
    <tableColumn id="46" xr3:uid="{5E97DAB9-0CBB-4393-9E2B-6F0AE6761C4A}" name="FF_ROOMS"/>
    <tableColumn id="47" xr3:uid="{0187A78C-16EB-440E-9F2F-2749BC10EDFB}" name="CF_OOO_ROOMS"/>
    <tableColumn id="48" xr3:uid="{FF57A605-64B2-4C75-AB90-3B5547B3A4EE}" name="CF_CALC_OCC_ROOMS"/>
    <tableColumn id="49" xr3:uid="{342DF7D5-4F2D-456E-AF47-B356D76313EA}" name="CF_CALC_INV_ROOMS"/>
    <tableColumn id="50" xr3:uid="{3FDB5034-AE7B-45EA-BFFC-FB585C5D0AEE}" name="CF_AVERAGE_ROOM_RATE"/>
    <tableColumn id="51" xr3:uid="{C83D496A-F679-490E-90FE-6EBD4CAE31A9}" name="CF_OCCUPANCY"/>
    <tableColumn id="52" xr3:uid="{2ABEDEC0-7BA8-4CF9-BACD-9407CAC20B36}" name="CF_IND_DED_REV"/>
    <tableColumn id="53" xr3:uid="{02E2F36F-6688-4DD6-A1B6-3B2F9E30CA9B}" name="CF_IND_NON_DED_REV"/>
    <tableColumn id="54" xr3:uid="{0BCC84BD-E831-4E56-B25D-7F7FD79B2287}" name="CF_BLK_DED_REV"/>
    <tableColumn id="55" xr3:uid="{60F4BA3E-EE53-462B-A274-380574F59CD8}" name="CF_BLK_NON_DED_REV"/>
    <tableColumn id="56" xr3:uid="{2063BC11-8478-410A-A36D-7436A505D789}" name="Column1"/>
    <tableColumn id="57" xr3:uid="{00F498A8-B850-4854-B7A0-CD8A87116267}" name="Column2"/>
    <tableColumn id="58" xr3:uid="{5928D519-3ACF-44E6-8FAE-05B59DC9DEAF}" name="Column3"/>
    <tableColumn id="59" xr3:uid="{E62DE10E-5CE7-43AC-8D7E-3DE8A2D50D18}" name="Column4"/>
    <tableColumn id="60" xr3:uid="{460DC781-F69A-4FE4-8592-6CCD14A648FB}" name="Column5"/>
    <tableColumn id="61" xr3:uid="{77CBA764-1411-47B8-8316-0D3ABE9CD800}" name="Column6"/>
    <tableColumn id="62" xr3:uid="{8DA93A35-1858-45B6-ACBE-CAD72FE49253}" name="Column7"/>
    <tableColumn id="63" xr3:uid="{22749D7F-C0CC-449D-A8A7-24DC0F9E586E}" name="Column8"/>
    <tableColumn id="64" xr3:uid="{9F4FDC91-AA59-4604-8FE8-0B01EFF2EC2C}" name="Column9"/>
    <tableColumn id="65" xr3:uid="{9248B0D9-6232-4DB6-A60A-3F8AC2730295}" name="Column10"/>
    <tableColumn id="66" xr3:uid="{0DCCA50D-792B-4B5E-99F8-752FA1357511}" name="Column11"/>
    <tableColumn id="67" xr3:uid="{7F3FEA77-F811-40E2-8190-5450E991E301}" name="Column12"/>
    <tableColumn id="68" xr3:uid="{7024E2ED-C8A3-42EF-A742-4648490702C8}" name="Column13"/>
    <tableColumn id="69" xr3:uid="{1F2D035A-AB97-4F1C-A667-AB433D64094F}" name="Column14"/>
    <tableColumn id="70" xr3:uid="{AF92D962-2AF3-4605-932F-1F402AD65342}" name="Column15"/>
    <tableColumn id="71" xr3:uid="{B2F5A727-69E6-4162-A352-4CEB1D05C7C7}" name="Column16"/>
    <tableColumn id="72" xr3:uid="{5A0E627E-3E6C-496A-AF69-16004A8233E9}" name="Column17"/>
    <tableColumn id="73" xr3:uid="{7165BDFF-40E6-454E-B644-DFF5A38D5771}" name="Column18"/>
    <tableColumn id="74" xr3:uid="{DA69A9E4-0289-41AA-B97C-798BCC966760}" name="Column19"/>
    <tableColumn id="75" xr3:uid="{5DA035A4-B4EA-4FC4-AF41-99A1ECD3DC29}" name="Column20"/>
    <tableColumn id="76" xr3:uid="{D0B1C9E7-EEAC-4497-B424-7F31F6785342}" name="Column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>
    <tabColor rgb="FFFFFF00"/>
    <pageSetUpPr fitToPage="1"/>
  </sheetPr>
  <dimension ref="A1:P170"/>
  <sheetViews>
    <sheetView view="pageBreakPreview" zoomScale="70" zoomScaleNormal="50" zoomScaleSheetLayoutView="70" zoomScalePageLayoutView="60" workbookViewId="0">
      <selection activeCell="E16" sqref="E16"/>
    </sheetView>
  </sheetViews>
  <sheetFormatPr defaultColWidth="9.140625" defaultRowHeight="15" x14ac:dyDescent="0.25"/>
  <cols>
    <col min="1" max="1" width="72.5703125" customWidth="1"/>
    <col min="2" max="2" width="41.42578125" customWidth="1"/>
    <col min="3" max="3" width="41.7109375" customWidth="1"/>
    <col min="4" max="4" width="53.42578125" customWidth="1"/>
    <col min="5" max="5" width="35.5703125" customWidth="1"/>
    <col min="6" max="6" width="40.42578125" customWidth="1"/>
    <col min="7" max="7" width="14.42578125" customWidth="1"/>
    <col min="8" max="8" width="16.5703125" bestFit="1" customWidth="1"/>
    <col min="9" max="9" width="12.42578125" bestFit="1" customWidth="1"/>
    <col min="10" max="11" width="9.140625" customWidth="1"/>
    <col min="12" max="12" width="22.140625" customWidth="1"/>
    <col min="13" max="13" width="28.5703125" bestFit="1" customWidth="1"/>
    <col min="14" max="14" width="14.7109375" customWidth="1"/>
    <col min="15" max="15" width="34.5703125" customWidth="1"/>
    <col min="16" max="16" width="21.85546875" customWidth="1"/>
  </cols>
  <sheetData>
    <row r="1" spans="1:16" ht="21.75" thickBot="1" x14ac:dyDescent="0.4">
      <c r="A1" s="16" t="s">
        <v>0</v>
      </c>
      <c r="B1" s="237" t="s">
        <v>1</v>
      </c>
      <c r="C1" s="237"/>
    </row>
    <row r="2" spans="1:16" ht="47.25" thickBot="1" x14ac:dyDescent="0.4">
      <c r="A2" s="15" t="s">
        <v>2</v>
      </c>
      <c r="B2" s="162"/>
      <c r="C2" s="210" t="s">
        <v>3</v>
      </c>
      <c r="D2" s="211">
        <v>45680</v>
      </c>
      <c r="E2" s="212"/>
      <c r="F2" s="212"/>
    </row>
    <row r="3" spans="1:16" ht="33" customHeight="1" thickBot="1" x14ac:dyDescent="0.4">
      <c r="A3" t="s">
        <v>69</v>
      </c>
      <c r="B3" s="163"/>
      <c r="C3" s="244"/>
      <c r="D3" s="245"/>
      <c r="E3" s="245"/>
      <c r="F3" s="246"/>
      <c r="G3" s="9"/>
    </row>
    <row r="4" spans="1:16" ht="43.5" customHeight="1" thickBot="1" x14ac:dyDescent="0.4">
      <c r="A4" s="15" t="s">
        <v>70</v>
      </c>
      <c r="B4" s="164" t="s">
        <v>4</v>
      </c>
      <c r="C4" s="213">
        <v>31</v>
      </c>
      <c r="D4" s="213">
        <v>28</v>
      </c>
      <c r="E4" s="213">
        <v>31</v>
      </c>
      <c r="F4" s="213">
        <v>30</v>
      </c>
      <c r="G4" s="8"/>
    </row>
    <row r="5" spans="1:16" ht="21.75" thickBot="1" x14ac:dyDescent="0.4">
      <c r="B5" s="165" t="s">
        <v>5</v>
      </c>
      <c r="C5" s="214" t="s">
        <v>91</v>
      </c>
      <c r="D5" s="214" t="s">
        <v>147</v>
      </c>
      <c r="E5" s="214" t="s">
        <v>148</v>
      </c>
      <c r="F5" s="214" t="s">
        <v>171</v>
      </c>
      <c r="G5" s="10"/>
    </row>
    <row r="6" spans="1:16" ht="21" x14ac:dyDescent="0.35">
      <c r="B6" s="166" t="s">
        <v>6</v>
      </c>
      <c r="C6" s="215">
        <v>3567</v>
      </c>
      <c r="D6" s="215">
        <v>2322</v>
      </c>
      <c r="E6" s="215">
        <v>1847</v>
      </c>
      <c r="F6" s="215">
        <v>1107</v>
      </c>
      <c r="G6" s="10"/>
      <c r="M6" s="19"/>
      <c r="N6" s="19"/>
      <c r="O6" s="19"/>
      <c r="P6" s="20"/>
    </row>
    <row r="7" spans="1:16" ht="21" x14ac:dyDescent="0.35">
      <c r="B7" s="166" t="s">
        <v>7</v>
      </c>
      <c r="C7" s="216">
        <f>C6-C13</f>
        <v>3567</v>
      </c>
      <c r="D7" s="216">
        <f>D6-D13</f>
        <v>2322</v>
      </c>
      <c r="E7" s="216">
        <f>E6-E13</f>
        <v>1847</v>
      </c>
      <c r="F7" s="216">
        <f>F6-F13</f>
        <v>1107</v>
      </c>
      <c r="G7" s="10"/>
      <c r="M7" s="19"/>
      <c r="N7" s="19"/>
      <c r="O7" s="19"/>
      <c r="P7" s="20"/>
    </row>
    <row r="8" spans="1:16" ht="21" x14ac:dyDescent="0.35">
      <c r="B8" s="167" t="s">
        <v>8</v>
      </c>
      <c r="C8" s="215">
        <v>761603.18</v>
      </c>
      <c r="D8" s="215">
        <v>436667.3</v>
      </c>
      <c r="E8" s="215">
        <v>416396.45</v>
      </c>
      <c r="F8" s="215">
        <v>193885.98</v>
      </c>
      <c r="G8" s="10"/>
      <c r="M8" s="21"/>
      <c r="N8" s="22"/>
      <c r="O8" s="23"/>
      <c r="P8" s="20"/>
    </row>
    <row r="9" spans="1:16" ht="21" x14ac:dyDescent="0.35">
      <c r="B9" s="167" t="s">
        <v>9</v>
      </c>
      <c r="C9" s="217">
        <f>C8/C7</f>
        <v>213.51364732268013</v>
      </c>
      <c r="D9" s="217">
        <f>D8/D7</f>
        <v>188.05654608096469</v>
      </c>
      <c r="E9" s="217">
        <f>E8/E7</f>
        <v>225.44474824038983</v>
      </c>
      <c r="F9" s="217">
        <f>F8/F7</f>
        <v>175.14542005420054</v>
      </c>
      <c r="G9" s="10"/>
      <c r="M9" s="21"/>
      <c r="N9" s="22"/>
      <c r="O9" s="23"/>
      <c r="P9" s="20"/>
    </row>
    <row r="10" spans="1:16" ht="21" x14ac:dyDescent="0.35">
      <c r="B10" s="167" t="s">
        <v>10</v>
      </c>
      <c r="C10" s="218">
        <v>179</v>
      </c>
      <c r="D10" s="218">
        <v>112</v>
      </c>
      <c r="E10" s="218">
        <v>124</v>
      </c>
      <c r="F10" s="218">
        <v>120</v>
      </c>
      <c r="G10" s="10"/>
      <c r="M10" s="21"/>
      <c r="N10" s="22"/>
      <c r="O10" s="23"/>
      <c r="P10" s="20"/>
    </row>
    <row r="11" spans="1:16" ht="21" x14ac:dyDescent="0.35">
      <c r="B11" s="168" t="s">
        <v>11</v>
      </c>
      <c r="C11" s="218">
        <v>23</v>
      </c>
      <c r="D11" s="218">
        <v>16</v>
      </c>
      <c r="E11" s="218">
        <v>14</v>
      </c>
      <c r="F11" s="218">
        <v>1</v>
      </c>
      <c r="G11" s="10"/>
      <c r="M11" s="21"/>
      <c r="N11" s="22"/>
      <c r="O11" s="23"/>
      <c r="P11" s="20"/>
    </row>
    <row r="12" spans="1:16" ht="21" x14ac:dyDescent="0.35">
      <c r="B12" s="168" t="s">
        <v>12</v>
      </c>
      <c r="C12" s="218">
        <v>1</v>
      </c>
      <c r="D12" s="218">
        <v>0</v>
      </c>
      <c r="E12" s="218">
        <v>0</v>
      </c>
      <c r="F12" s="218">
        <v>0</v>
      </c>
      <c r="G12" s="10"/>
      <c r="M12" s="21"/>
      <c r="N12" s="22"/>
      <c r="O12" s="23"/>
      <c r="P12" s="20"/>
    </row>
    <row r="13" spans="1:16" ht="21.75" thickBot="1" x14ac:dyDescent="0.4">
      <c r="B13" s="169" t="s">
        <v>13</v>
      </c>
      <c r="C13" s="216"/>
      <c r="D13" s="216"/>
      <c r="E13" s="216"/>
      <c r="F13" s="216"/>
      <c r="G13" s="10"/>
      <c r="M13" s="21"/>
      <c r="N13" s="22"/>
      <c r="O13" s="23"/>
      <c r="P13" s="20"/>
    </row>
    <row r="14" spans="1:16" ht="21.75" thickBot="1" x14ac:dyDescent="0.4">
      <c r="B14" s="170"/>
      <c r="C14" s="247" t="s">
        <v>14</v>
      </c>
      <c r="D14" s="247"/>
      <c r="E14" s="247"/>
      <c r="F14" s="247"/>
      <c r="M14" s="21"/>
      <c r="N14" s="22"/>
      <c r="O14" s="23"/>
      <c r="P14" s="20"/>
    </row>
    <row r="15" spans="1:16" ht="21.75" thickBot="1" x14ac:dyDescent="0.4">
      <c r="B15" s="171" t="s">
        <v>15</v>
      </c>
      <c r="C15" s="219" t="s">
        <v>91</v>
      </c>
      <c r="D15" s="219" t="s">
        <v>194</v>
      </c>
      <c r="E15" s="219" t="s">
        <v>148</v>
      </c>
      <c r="F15" s="219" t="s">
        <v>171</v>
      </c>
      <c r="M15" s="21"/>
      <c r="N15" s="22"/>
      <c r="O15" s="23"/>
      <c r="P15" s="20"/>
    </row>
    <row r="16" spans="1:16" ht="21" x14ac:dyDescent="0.35">
      <c r="B16" s="172" t="s">
        <v>6</v>
      </c>
      <c r="C16" s="215">
        <v>3533</v>
      </c>
      <c r="D16" s="215">
        <v>2271</v>
      </c>
      <c r="E16" s="215">
        <v>1865</v>
      </c>
      <c r="F16" s="215">
        <v>1120</v>
      </c>
      <c r="M16" s="21"/>
      <c r="N16" s="22"/>
      <c r="O16" s="23"/>
      <c r="P16" s="20"/>
    </row>
    <row r="17" spans="1:16" ht="21" x14ac:dyDescent="0.35">
      <c r="B17" s="166" t="s">
        <v>7</v>
      </c>
      <c r="C17" s="216">
        <f>C16-C23</f>
        <v>3533</v>
      </c>
      <c r="D17" s="216">
        <f>D16-D23</f>
        <v>2271</v>
      </c>
      <c r="E17" s="216">
        <f>E16-E23</f>
        <v>1865</v>
      </c>
      <c r="F17" s="216">
        <f>F16-F23</f>
        <v>1120</v>
      </c>
      <c r="M17" s="21"/>
      <c r="N17" s="22"/>
      <c r="O17" s="23"/>
      <c r="P17" s="20"/>
    </row>
    <row r="18" spans="1:16" ht="21" x14ac:dyDescent="0.35">
      <c r="B18" s="167" t="s">
        <v>8</v>
      </c>
      <c r="C18" s="215">
        <v>750313.15</v>
      </c>
      <c r="D18" s="215">
        <v>430263.2</v>
      </c>
      <c r="E18" s="215">
        <v>422884.25</v>
      </c>
      <c r="F18" s="215">
        <v>198265.79</v>
      </c>
      <c r="M18" s="21"/>
      <c r="N18" s="22"/>
      <c r="O18" s="23"/>
      <c r="P18" s="20"/>
    </row>
    <row r="19" spans="1:16" ht="21" x14ac:dyDescent="0.35">
      <c r="B19" s="167" t="s">
        <v>9</v>
      </c>
      <c r="C19" s="217">
        <f>C18/C16</f>
        <v>212.37281347296914</v>
      </c>
      <c r="D19" s="217">
        <f>D18/D17</f>
        <v>189.45979744605901</v>
      </c>
      <c r="E19" s="217">
        <f>E18/E17</f>
        <v>226.74758713136728</v>
      </c>
      <c r="F19" s="217">
        <f>F18/F17</f>
        <v>177.02302678571428</v>
      </c>
      <c r="M19" s="19"/>
      <c r="N19" s="19"/>
      <c r="O19" s="19"/>
      <c r="P19" s="20"/>
    </row>
    <row r="20" spans="1:16" ht="21" x14ac:dyDescent="0.35">
      <c r="B20" s="167" t="s">
        <v>10</v>
      </c>
      <c r="C20" s="218">
        <v>179</v>
      </c>
      <c r="D20" s="218">
        <v>112</v>
      </c>
      <c r="E20" s="218">
        <v>124</v>
      </c>
      <c r="F20" s="218">
        <v>120</v>
      </c>
      <c r="M20" s="21"/>
      <c r="N20" s="22"/>
      <c r="O20" s="23"/>
      <c r="P20" s="20"/>
    </row>
    <row r="21" spans="1:16" ht="21" x14ac:dyDescent="0.35">
      <c r="B21" s="168" t="s">
        <v>11</v>
      </c>
      <c r="C21" s="218">
        <v>22</v>
      </c>
      <c r="D21" s="218">
        <v>15</v>
      </c>
      <c r="E21" s="218">
        <v>14</v>
      </c>
      <c r="F21" s="218">
        <v>1</v>
      </c>
      <c r="M21" s="21"/>
      <c r="N21" s="22"/>
      <c r="O21" s="23"/>
      <c r="P21" s="20"/>
    </row>
    <row r="22" spans="1:16" ht="21" x14ac:dyDescent="0.35">
      <c r="B22" s="168" t="s">
        <v>12</v>
      </c>
      <c r="C22" s="218">
        <v>1</v>
      </c>
      <c r="D22" s="218">
        <v>0</v>
      </c>
      <c r="E22" s="218">
        <v>0</v>
      </c>
      <c r="F22" s="218">
        <v>0</v>
      </c>
      <c r="M22" s="21"/>
      <c r="N22" s="22"/>
      <c r="O22" s="23"/>
      <c r="P22" s="20"/>
    </row>
    <row r="23" spans="1:16" ht="21.75" thickBot="1" x14ac:dyDescent="0.4">
      <c r="B23" s="169" t="s">
        <v>13</v>
      </c>
      <c r="C23" s="216"/>
      <c r="D23" s="216"/>
      <c r="E23" s="216"/>
      <c r="F23" s="216"/>
      <c r="M23" s="21"/>
      <c r="N23" s="22"/>
      <c r="O23" s="23"/>
      <c r="P23" s="20"/>
    </row>
    <row r="24" spans="1:16" ht="15.75" x14ac:dyDescent="0.25">
      <c r="B24" s="1"/>
      <c r="C24" s="14"/>
      <c r="D24" s="14"/>
      <c r="E24" s="14"/>
      <c r="F24" s="14"/>
      <c r="M24" s="21"/>
      <c r="N24" s="22"/>
      <c r="O24" s="23"/>
      <c r="P24" s="20"/>
    </row>
    <row r="25" spans="1:16" ht="143.25" customHeight="1" x14ac:dyDescent="0.25">
      <c r="A25" s="27" t="s">
        <v>71</v>
      </c>
      <c r="B25" s="1"/>
      <c r="C25" s="14"/>
      <c r="D25" s="124"/>
      <c r="E25" s="124"/>
      <c r="F25" s="124"/>
      <c r="M25" s="21"/>
      <c r="N25" s="22"/>
      <c r="O25" s="23"/>
      <c r="P25" s="20"/>
    </row>
    <row r="26" spans="1:16" ht="16.5" thickBot="1" x14ac:dyDescent="0.3">
      <c r="B26" s="1"/>
      <c r="C26" s="14"/>
      <c r="D26" s="124"/>
      <c r="E26" s="124"/>
      <c r="F26" s="124"/>
      <c r="G26" s="125"/>
      <c r="M26" s="21"/>
      <c r="N26" s="22"/>
      <c r="O26" s="23"/>
      <c r="P26" s="20"/>
    </row>
    <row r="27" spans="1:16" ht="36" customHeight="1" thickBot="1" x14ac:dyDescent="0.3">
      <c r="A27" t="s">
        <v>16</v>
      </c>
      <c r="B27" s="248" t="s">
        <v>17</v>
      </c>
      <c r="C27" s="249"/>
      <c r="D27" s="124"/>
      <c r="E27" s="124"/>
      <c r="F27" s="124"/>
      <c r="G27" s="125"/>
      <c r="M27" s="21"/>
      <c r="N27" s="22"/>
      <c r="O27" s="23"/>
      <c r="P27" s="20"/>
    </row>
    <row r="28" spans="1:16" ht="60.75" thickBot="1" x14ac:dyDescent="0.3">
      <c r="A28" s="15" t="s">
        <v>72</v>
      </c>
      <c r="B28" s="200" t="s">
        <v>18</v>
      </c>
      <c r="C28" s="201">
        <v>107</v>
      </c>
      <c r="D28" s="124"/>
      <c r="E28" s="124"/>
      <c r="F28" s="124"/>
      <c r="G28" s="126"/>
      <c r="M28" s="21"/>
      <c r="N28" s="22"/>
      <c r="O28" s="23"/>
      <c r="P28" s="20"/>
    </row>
    <row r="29" spans="1:16" ht="21" x14ac:dyDescent="0.25">
      <c r="B29" s="202" t="s">
        <v>8</v>
      </c>
      <c r="C29" s="201">
        <v>23570.05</v>
      </c>
      <c r="D29" s="124"/>
      <c r="E29" s="124"/>
      <c r="F29" s="124"/>
      <c r="G29" s="126"/>
      <c r="M29" s="19"/>
      <c r="N29" s="19"/>
      <c r="O29" s="19"/>
      <c r="P29" s="20"/>
    </row>
    <row r="30" spans="1:16" ht="21.75" thickBot="1" x14ac:dyDescent="0.3">
      <c r="B30" s="203" t="s">
        <v>19</v>
      </c>
      <c r="C30" s="204">
        <v>5</v>
      </c>
      <c r="D30" s="124"/>
      <c r="E30" s="124"/>
      <c r="F30" s="124"/>
      <c r="G30" s="127"/>
      <c r="M30" s="21"/>
      <c r="N30" s="22"/>
      <c r="O30" s="23"/>
      <c r="P30" s="20"/>
    </row>
    <row r="31" spans="1:16" ht="15.75" x14ac:dyDescent="0.25">
      <c r="C31" s="5"/>
      <c r="D31" s="124" t="s">
        <v>20</v>
      </c>
      <c r="E31" s="124"/>
      <c r="F31" s="124"/>
      <c r="G31" s="127"/>
      <c r="M31" s="21"/>
      <c r="N31" s="22"/>
      <c r="O31" s="23"/>
      <c r="P31" s="20"/>
    </row>
    <row r="32" spans="1:16" ht="75" x14ac:dyDescent="0.25">
      <c r="A32" s="15" t="s">
        <v>73</v>
      </c>
      <c r="C32" s="5"/>
      <c r="D32" s="124"/>
      <c r="E32" s="124"/>
      <c r="F32" s="124"/>
      <c r="G32" s="126"/>
      <c r="M32" s="21"/>
      <c r="N32" s="22"/>
      <c r="O32" s="23"/>
      <c r="P32" s="20"/>
    </row>
    <row r="33" spans="1:16" ht="15.75" x14ac:dyDescent="0.25">
      <c r="A33">
        <f>A34</f>
        <v>0</v>
      </c>
      <c r="C33" s="5"/>
      <c r="D33" s="124"/>
      <c r="E33" s="124"/>
      <c r="F33" s="124"/>
      <c r="G33" s="126"/>
      <c r="M33" s="21"/>
      <c r="N33" s="22"/>
      <c r="O33" s="23"/>
      <c r="P33" s="20"/>
    </row>
    <row r="34" spans="1:16" ht="15.75" x14ac:dyDescent="0.25">
      <c r="C34" s="5"/>
      <c r="D34" s="124"/>
      <c r="E34" s="124"/>
      <c r="F34" s="124"/>
      <c r="M34" s="21"/>
      <c r="N34" s="22"/>
      <c r="O34" s="23"/>
      <c r="P34" s="20"/>
    </row>
    <row r="35" spans="1:16" ht="15.75" x14ac:dyDescent="0.25">
      <c r="A35" t="s">
        <v>74</v>
      </c>
      <c r="C35" s="5"/>
      <c r="D35" s="124"/>
      <c r="E35" s="124"/>
      <c r="F35" s="124"/>
      <c r="M35" s="21"/>
      <c r="N35" s="22"/>
      <c r="O35" s="23"/>
      <c r="P35" s="20"/>
    </row>
    <row r="36" spans="1:16" ht="15.75" x14ac:dyDescent="0.25">
      <c r="C36" s="5"/>
      <c r="D36" s="124"/>
      <c r="E36" s="124"/>
      <c r="F36" s="124"/>
      <c r="G36" s="8"/>
      <c r="M36" s="19"/>
      <c r="N36" s="19"/>
      <c r="O36" s="19"/>
      <c r="P36" s="19"/>
    </row>
    <row r="37" spans="1:16" ht="15.75" x14ac:dyDescent="0.25">
      <c r="C37" s="5"/>
      <c r="D37" s="124"/>
      <c r="E37" s="124"/>
      <c r="F37" s="124"/>
      <c r="G37" s="126"/>
      <c r="M37" s="21"/>
      <c r="N37" s="24"/>
      <c r="O37" s="25"/>
      <c r="P37" s="21"/>
    </row>
    <row r="38" spans="1:16" ht="15.75" x14ac:dyDescent="0.25">
      <c r="C38" s="5"/>
      <c r="D38" s="124"/>
      <c r="E38" s="124"/>
      <c r="F38" s="124"/>
      <c r="G38" s="126"/>
      <c r="M38" s="21"/>
      <c r="N38" s="24"/>
      <c r="O38" s="25"/>
      <c r="P38" s="21"/>
    </row>
    <row r="39" spans="1:16" ht="15.75" x14ac:dyDescent="0.25">
      <c r="C39" s="5"/>
      <c r="D39" s="124"/>
      <c r="E39" s="124"/>
      <c r="F39" s="124"/>
      <c r="G39" s="127"/>
      <c r="M39" s="21"/>
      <c r="N39" s="24"/>
      <c r="O39" s="25"/>
      <c r="P39" s="21"/>
    </row>
    <row r="40" spans="1:16" ht="15.75" x14ac:dyDescent="0.25">
      <c r="C40" s="5"/>
      <c r="D40" s="124"/>
      <c r="E40" s="124"/>
      <c r="F40" s="124"/>
      <c r="G40" s="127"/>
      <c r="M40" s="21"/>
      <c r="N40" s="24"/>
      <c r="O40" s="25"/>
      <c r="P40" s="21"/>
    </row>
    <row r="41" spans="1:16" ht="15.75" x14ac:dyDescent="0.25">
      <c r="C41" s="5"/>
      <c r="D41" s="124"/>
      <c r="E41" s="124"/>
      <c r="F41" s="124"/>
      <c r="G41" s="126"/>
      <c r="M41" s="21"/>
      <c r="N41" s="24"/>
      <c r="O41" s="25"/>
      <c r="P41" s="21"/>
    </row>
    <row r="42" spans="1:16" ht="15.75" x14ac:dyDescent="0.25">
      <c r="C42" s="5"/>
      <c r="D42" s="14"/>
      <c r="E42" s="14"/>
      <c r="F42" s="14"/>
      <c r="G42" s="3"/>
      <c r="M42" s="21"/>
      <c r="N42" s="24"/>
      <c r="O42" s="25"/>
      <c r="P42" s="21"/>
    </row>
    <row r="43" spans="1:16" ht="15.75" x14ac:dyDescent="0.25">
      <c r="C43" s="5"/>
      <c r="D43" s="14"/>
      <c r="E43" s="14"/>
      <c r="F43" s="14"/>
      <c r="M43" s="21"/>
      <c r="N43" s="24"/>
      <c r="O43" s="25"/>
      <c r="P43" s="21"/>
    </row>
    <row r="44" spans="1:16" ht="15.75" x14ac:dyDescent="0.25">
      <c r="C44" s="5"/>
      <c r="D44" s="14"/>
      <c r="E44" s="14"/>
      <c r="F44" s="14"/>
      <c r="G44" s="6"/>
      <c r="M44" s="21"/>
      <c r="N44" s="24"/>
      <c r="O44" s="25"/>
      <c r="P44" s="21"/>
    </row>
    <row r="45" spans="1:16" ht="15.75" x14ac:dyDescent="0.25">
      <c r="C45" s="5"/>
      <c r="D45" s="14"/>
      <c r="E45" s="14"/>
      <c r="F45" s="14"/>
      <c r="G45" s="6"/>
      <c r="M45" s="21"/>
      <c r="N45" s="24"/>
      <c r="O45" s="25"/>
      <c r="P45" s="21"/>
    </row>
    <row r="46" spans="1:16" ht="15.75" x14ac:dyDescent="0.25">
      <c r="C46" s="5"/>
      <c r="D46" s="14"/>
      <c r="E46" s="14"/>
      <c r="F46" s="14"/>
      <c r="G46" s="6"/>
      <c r="M46" s="21"/>
      <c r="N46" s="24"/>
      <c r="O46" s="25"/>
      <c r="P46" s="21"/>
    </row>
    <row r="47" spans="1:16" ht="15.75" x14ac:dyDescent="0.25">
      <c r="C47" s="5"/>
      <c r="D47" s="14"/>
      <c r="E47" s="14"/>
      <c r="F47" s="14"/>
      <c r="G47" s="7"/>
      <c r="M47" s="21"/>
      <c r="N47" s="24"/>
      <c r="O47" s="25"/>
      <c r="P47" s="21"/>
    </row>
    <row r="48" spans="1:16" ht="14.25" customHeight="1" x14ac:dyDescent="0.25">
      <c r="A48" s="2"/>
      <c r="C48" s="5"/>
      <c r="D48" s="14"/>
      <c r="E48" s="11"/>
      <c r="F48" s="14"/>
      <c r="M48" s="21"/>
      <c r="N48" s="24"/>
      <c r="O48" s="25"/>
      <c r="P48" s="21"/>
    </row>
    <row r="49" spans="1:15" ht="15.75" x14ac:dyDescent="0.25">
      <c r="C49" s="5"/>
      <c r="D49" s="14"/>
      <c r="E49" s="14"/>
      <c r="F49" s="14"/>
      <c r="M49" s="4"/>
      <c r="N49" s="3"/>
      <c r="O49" s="3"/>
    </row>
    <row r="50" spans="1:15" s="250" customFormat="1" ht="15" customHeight="1" x14ac:dyDescent="0.25"/>
    <row r="51" spans="1:15" ht="15.75" customHeight="1" x14ac:dyDescent="0.25">
      <c r="C51" s="5"/>
      <c r="D51" s="14"/>
      <c r="E51" s="14"/>
      <c r="F51" s="14"/>
      <c r="I51" s="5"/>
    </row>
    <row r="52" spans="1:15" ht="15" customHeight="1" x14ac:dyDescent="0.25">
      <c r="D52" s="14"/>
      <c r="E52" s="14"/>
      <c r="F52" s="14"/>
      <c r="H52" s="2"/>
      <c r="I52" s="5"/>
    </row>
    <row r="53" spans="1:15" ht="15" customHeight="1" x14ac:dyDescent="0.25">
      <c r="D53" s="14"/>
      <c r="E53" s="14"/>
      <c r="F53" s="14"/>
      <c r="H53" s="2"/>
      <c r="I53" s="5"/>
    </row>
    <row r="54" spans="1:15" ht="15" customHeight="1" x14ac:dyDescent="0.25">
      <c r="D54" s="14"/>
      <c r="E54" s="14"/>
      <c r="F54" s="14"/>
      <c r="H54" s="2"/>
      <c r="I54" s="5"/>
    </row>
    <row r="55" spans="1:15" ht="15" customHeight="1" x14ac:dyDescent="0.25">
      <c r="D55" s="14"/>
      <c r="E55" s="14"/>
      <c r="F55" s="14"/>
      <c r="H55" s="2"/>
      <c r="I55" s="5"/>
    </row>
    <row r="56" spans="1:15" ht="15" customHeight="1" x14ac:dyDescent="0.25">
      <c r="D56" s="14"/>
      <c r="E56" s="14"/>
      <c r="F56" s="14"/>
      <c r="H56" s="2"/>
      <c r="I56" s="5"/>
    </row>
    <row r="57" spans="1:15" ht="45.75" thickBot="1" x14ac:dyDescent="0.3">
      <c r="A57" s="17" t="s">
        <v>76</v>
      </c>
    </row>
    <row r="58" spans="1:15" ht="21" x14ac:dyDescent="0.35">
      <c r="B58" s="241" t="s">
        <v>21</v>
      </c>
      <c r="C58" s="173" t="s">
        <v>22</v>
      </c>
      <c r="D58" s="174" t="s">
        <v>87</v>
      </c>
      <c r="E58" s="162"/>
    </row>
    <row r="59" spans="1:15" ht="21" x14ac:dyDescent="0.35">
      <c r="B59" s="242"/>
      <c r="C59" s="175" t="s">
        <v>23</v>
      </c>
      <c r="D59" s="174" t="s">
        <v>87</v>
      </c>
      <c r="E59" s="162"/>
    </row>
    <row r="60" spans="1:15" ht="21.75" thickBot="1" x14ac:dyDescent="0.4">
      <c r="B60" s="243"/>
      <c r="C60" s="176" t="s">
        <v>24</v>
      </c>
      <c r="D60" s="174" t="s">
        <v>87</v>
      </c>
      <c r="E60" s="162"/>
    </row>
    <row r="61" spans="1:15" ht="21.75" thickBot="1" x14ac:dyDescent="0.4">
      <c r="B61" s="162"/>
      <c r="C61" s="162"/>
      <c r="D61" s="162"/>
      <c r="E61" s="162"/>
    </row>
    <row r="62" spans="1:15" ht="21.75" thickBot="1" x14ac:dyDescent="0.4">
      <c r="B62" s="238" t="s">
        <v>62</v>
      </c>
      <c r="C62" s="177" t="s">
        <v>40</v>
      </c>
      <c r="D62" s="177" t="s">
        <v>63</v>
      </c>
      <c r="E62" s="162"/>
    </row>
    <row r="63" spans="1:15" ht="21" x14ac:dyDescent="0.35">
      <c r="B63" s="239"/>
      <c r="C63" s="178"/>
      <c r="D63" s="178"/>
      <c r="E63" s="162"/>
    </row>
    <row r="64" spans="1:15" ht="21.75" thickBot="1" x14ac:dyDescent="0.4">
      <c r="B64" s="240"/>
      <c r="C64" s="179"/>
      <c r="D64" s="179"/>
      <c r="E64" s="162"/>
    </row>
    <row r="65" spans="1:6" ht="21" x14ac:dyDescent="0.35">
      <c r="B65" s="162"/>
      <c r="C65" s="162"/>
      <c r="D65" s="162"/>
      <c r="E65" s="162"/>
    </row>
    <row r="66" spans="1:6" ht="21.75" thickBot="1" x14ac:dyDescent="0.4">
      <c r="B66" s="162"/>
      <c r="C66" s="162"/>
      <c r="D66" s="162"/>
      <c r="E66" s="162"/>
    </row>
    <row r="67" spans="1:6" ht="32.25" thickBot="1" x14ac:dyDescent="0.4">
      <c r="A67" s="17" t="s">
        <v>80</v>
      </c>
      <c r="B67" s="162"/>
      <c r="C67" s="207" t="str">
        <f>C5</f>
        <v>January</v>
      </c>
      <c r="D67" s="208" t="str">
        <f>D5</f>
        <v>February</v>
      </c>
      <c r="E67" s="209" t="str">
        <f>E5</f>
        <v>March</v>
      </c>
      <c r="F67" s="9"/>
    </row>
    <row r="68" spans="1:6" ht="21.75" thickBot="1" x14ac:dyDescent="0.4">
      <c r="B68" s="180" t="s">
        <v>25</v>
      </c>
      <c r="C68" s="205">
        <v>160917</v>
      </c>
      <c r="D68" s="205">
        <v>275488</v>
      </c>
      <c r="E68" s="205">
        <v>460381</v>
      </c>
    </row>
    <row r="69" spans="1:6" ht="21.75" thickBot="1" x14ac:dyDescent="0.4">
      <c r="B69" s="181" t="s">
        <v>26</v>
      </c>
      <c r="C69" s="205">
        <v>160917</v>
      </c>
      <c r="D69" s="205">
        <v>275488</v>
      </c>
      <c r="E69" s="225">
        <v>546797.55000000005</v>
      </c>
    </row>
    <row r="70" spans="1:6" ht="21.75" thickBot="1" x14ac:dyDescent="0.4">
      <c r="B70" s="181" t="s">
        <v>68</v>
      </c>
      <c r="C70" s="205"/>
      <c r="D70" s="205"/>
      <c r="E70" s="205"/>
    </row>
    <row r="71" spans="1:6" ht="21" x14ac:dyDescent="0.35">
      <c r="B71" s="181" t="s">
        <v>27</v>
      </c>
      <c r="C71" s="205"/>
      <c r="D71" s="205"/>
      <c r="E71" s="205"/>
    </row>
    <row r="72" spans="1:6" ht="42.75" thickBot="1" x14ac:dyDescent="0.4">
      <c r="B72" s="182" t="s">
        <v>28</v>
      </c>
      <c r="C72" s="206"/>
      <c r="D72" s="206"/>
      <c r="E72" s="206"/>
    </row>
    <row r="75" spans="1:6" ht="15.75" thickBot="1" x14ac:dyDescent="0.3"/>
    <row r="76" spans="1:6" ht="31.5" x14ac:dyDescent="0.35">
      <c r="A76" s="28" t="s">
        <v>75</v>
      </c>
      <c r="B76" s="223" t="s">
        <v>29</v>
      </c>
      <c r="C76" s="226" t="s">
        <v>30</v>
      </c>
      <c r="D76" s="224" t="s">
        <v>67</v>
      </c>
      <c r="E76" s="162"/>
    </row>
    <row r="77" spans="1:6" ht="48" customHeight="1" x14ac:dyDescent="0.35">
      <c r="A77" t="s">
        <v>81</v>
      </c>
      <c r="B77" s="222" t="s">
        <v>223</v>
      </c>
      <c r="C77" s="187">
        <v>306</v>
      </c>
      <c r="D77" s="231" t="s">
        <v>239</v>
      </c>
      <c r="E77" s="232">
        <v>45683</v>
      </c>
    </row>
    <row r="78" spans="1:6" ht="18.75" customHeight="1" x14ac:dyDescent="0.35">
      <c r="A78" t="s">
        <v>84</v>
      </c>
      <c r="B78" s="222" t="s">
        <v>224</v>
      </c>
      <c r="C78" s="187">
        <v>310</v>
      </c>
      <c r="D78" s="231" t="s">
        <v>240</v>
      </c>
      <c r="E78" s="232">
        <v>45680</v>
      </c>
    </row>
    <row r="79" spans="1:6" ht="15.75" customHeight="1" x14ac:dyDescent="0.35">
      <c r="A79" t="s">
        <v>83</v>
      </c>
      <c r="B79" s="222" t="s">
        <v>238</v>
      </c>
      <c r="C79" s="187">
        <v>343</v>
      </c>
      <c r="D79" s="231" t="s">
        <v>241</v>
      </c>
      <c r="E79" s="232">
        <v>45680</v>
      </c>
    </row>
    <row r="80" spans="1:6" ht="15.75" customHeight="1" x14ac:dyDescent="0.35">
      <c r="B80" s="222" t="s">
        <v>225</v>
      </c>
      <c r="C80" s="187">
        <v>403</v>
      </c>
      <c r="D80" s="231" t="s">
        <v>242</v>
      </c>
      <c r="E80" s="232"/>
    </row>
    <row r="81" spans="1:5" ht="15.75" customHeight="1" x14ac:dyDescent="0.35">
      <c r="B81" s="222" t="s">
        <v>226</v>
      </c>
      <c r="C81" s="187">
        <v>406</v>
      </c>
      <c r="D81" s="231" t="s">
        <v>247</v>
      </c>
      <c r="E81" s="232"/>
    </row>
    <row r="82" spans="1:5" ht="15.75" customHeight="1" x14ac:dyDescent="0.35">
      <c r="B82" s="222" t="s">
        <v>227</v>
      </c>
      <c r="C82" s="187">
        <v>421</v>
      </c>
      <c r="D82" s="231" t="s">
        <v>215</v>
      </c>
      <c r="E82" s="232"/>
    </row>
    <row r="83" spans="1:5" ht="15.75" customHeight="1" x14ac:dyDescent="0.35">
      <c r="B83" s="222" t="s">
        <v>228</v>
      </c>
      <c r="C83" s="187">
        <v>430</v>
      </c>
      <c r="D83" s="231" t="s">
        <v>248</v>
      </c>
      <c r="E83" s="232"/>
    </row>
    <row r="84" spans="1:5" ht="15.75" customHeight="1" x14ac:dyDescent="0.35">
      <c r="B84" s="222" t="s">
        <v>229</v>
      </c>
      <c r="C84" s="187">
        <v>512</v>
      </c>
      <c r="D84" s="231" t="s">
        <v>215</v>
      </c>
      <c r="E84" s="232"/>
    </row>
    <row r="85" spans="1:5" ht="15.75" customHeight="1" x14ac:dyDescent="0.35">
      <c r="B85" s="222" t="s">
        <v>230</v>
      </c>
      <c r="C85" s="187">
        <v>532</v>
      </c>
      <c r="D85" s="231" t="s">
        <v>215</v>
      </c>
      <c r="E85" s="232"/>
    </row>
    <row r="86" spans="1:5" ht="16.5" customHeight="1" x14ac:dyDescent="0.35">
      <c r="A86" t="s">
        <v>85</v>
      </c>
      <c r="B86" s="222" t="s">
        <v>231</v>
      </c>
      <c r="C86" s="187">
        <v>538</v>
      </c>
      <c r="D86" s="231" t="s">
        <v>243</v>
      </c>
      <c r="E86" s="232"/>
    </row>
    <row r="87" spans="1:5" ht="39.75" customHeight="1" x14ac:dyDescent="0.35">
      <c r="B87" s="222" t="s">
        <v>232</v>
      </c>
      <c r="C87" s="187">
        <v>540</v>
      </c>
      <c r="D87" s="231" t="s">
        <v>244</v>
      </c>
      <c r="E87" s="232"/>
    </row>
    <row r="88" spans="1:5" ht="18.75" customHeight="1" x14ac:dyDescent="0.35">
      <c r="B88" s="222" t="s">
        <v>233</v>
      </c>
      <c r="C88" s="187">
        <v>601</v>
      </c>
      <c r="D88" s="231" t="s">
        <v>195</v>
      </c>
      <c r="E88" s="232"/>
    </row>
    <row r="89" spans="1:5" ht="20.25" customHeight="1" x14ac:dyDescent="0.35">
      <c r="A89" s="9" t="s">
        <v>86</v>
      </c>
      <c r="B89" s="222" t="s">
        <v>234</v>
      </c>
      <c r="C89" s="187">
        <v>619</v>
      </c>
      <c r="D89" s="231" t="s">
        <v>245</v>
      </c>
      <c r="E89" s="232"/>
    </row>
    <row r="90" spans="1:5" ht="15.75" customHeight="1" x14ac:dyDescent="0.35">
      <c r="B90" s="222" t="s">
        <v>235</v>
      </c>
      <c r="C90" s="187"/>
      <c r="D90" s="231" t="s">
        <v>246</v>
      </c>
      <c r="E90" s="232"/>
    </row>
    <row r="91" spans="1:5" ht="21" customHeight="1" x14ac:dyDescent="0.35">
      <c r="B91" s="222"/>
      <c r="C91" s="187"/>
      <c r="D91" s="231"/>
      <c r="E91" s="232"/>
    </row>
    <row r="92" spans="1:5" ht="23.25" customHeight="1" x14ac:dyDescent="0.35">
      <c r="B92" s="222"/>
      <c r="C92" s="187"/>
      <c r="D92" s="231"/>
      <c r="E92" s="232"/>
    </row>
    <row r="93" spans="1:5" ht="19.5" customHeight="1" x14ac:dyDescent="0.35">
      <c r="B93" s="222"/>
      <c r="C93" s="197"/>
      <c r="D93" s="231"/>
      <c r="E93" s="232"/>
    </row>
    <row r="94" spans="1:5" ht="20.25" customHeight="1" x14ac:dyDescent="0.35">
      <c r="B94" s="222"/>
      <c r="C94" s="197"/>
      <c r="D94" s="231"/>
      <c r="E94" s="232"/>
    </row>
    <row r="95" spans="1:5" ht="21" customHeight="1" x14ac:dyDescent="0.35">
      <c r="B95" s="222"/>
      <c r="C95" s="187"/>
      <c r="D95" s="231"/>
      <c r="E95" s="232"/>
    </row>
    <row r="96" spans="1:5" ht="21" x14ac:dyDescent="0.35">
      <c r="B96" s="222"/>
      <c r="C96" s="187"/>
      <c r="D96" s="231"/>
      <c r="E96" s="232"/>
    </row>
    <row r="97" spans="2:6" ht="21" customHeight="1" x14ac:dyDescent="0.35">
      <c r="B97" s="222"/>
      <c r="C97" s="187"/>
      <c r="D97" s="231"/>
      <c r="E97" s="232"/>
    </row>
    <row r="98" spans="2:6" ht="21" x14ac:dyDescent="0.35">
      <c r="B98" s="222"/>
      <c r="C98" s="187"/>
      <c r="D98" s="231"/>
      <c r="E98" s="232"/>
    </row>
    <row r="99" spans="2:6" ht="21" customHeight="1" thickBot="1" x14ac:dyDescent="0.4">
      <c r="B99" s="222"/>
      <c r="C99" s="197"/>
      <c r="D99" s="231"/>
      <c r="E99" s="232"/>
    </row>
    <row r="100" spans="2:6" ht="21.75" thickBot="1" x14ac:dyDescent="0.4">
      <c r="B100" s="183" t="s">
        <v>149</v>
      </c>
      <c r="C100" s="184" t="s">
        <v>30</v>
      </c>
      <c r="D100" s="185" t="s">
        <v>67</v>
      </c>
      <c r="E100" s="232"/>
    </row>
    <row r="101" spans="2:6" ht="21" x14ac:dyDescent="0.35">
      <c r="B101" s="222" t="s">
        <v>249</v>
      </c>
      <c r="C101" s="187">
        <v>501</v>
      </c>
      <c r="D101" s="231" t="s">
        <v>195</v>
      </c>
      <c r="E101" s="232" t="s">
        <v>259</v>
      </c>
    </row>
    <row r="102" spans="2:6" ht="18" customHeight="1" x14ac:dyDescent="0.35">
      <c r="B102" s="222" t="s">
        <v>250</v>
      </c>
      <c r="C102" s="187">
        <v>352</v>
      </c>
      <c r="D102" s="231" t="s">
        <v>254</v>
      </c>
      <c r="E102" s="232" t="s">
        <v>259</v>
      </c>
    </row>
    <row r="103" spans="2:6" ht="20.25" customHeight="1" x14ac:dyDescent="0.35">
      <c r="B103" s="222" t="s">
        <v>251</v>
      </c>
      <c r="C103" s="187">
        <v>519</v>
      </c>
      <c r="D103" s="231" t="s">
        <v>255</v>
      </c>
      <c r="E103" s="232" t="s">
        <v>260</v>
      </c>
    </row>
    <row r="104" spans="2:6" ht="63" x14ac:dyDescent="0.35">
      <c r="B104" s="222" t="s">
        <v>251</v>
      </c>
      <c r="C104" s="187">
        <v>519</v>
      </c>
      <c r="D104" s="231" t="s">
        <v>256</v>
      </c>
      <c r="E104" s="232" t="s">
        <v>260</v>
      </c>
    </row>
    <row r="105" spans="2:6" ht="21" x14ac:dyDescent="0.35">
      <c r="B105" s="222"/>
      <c r="C105" s="187"/>
      <c r="D105" s="231"/>
      <c r="E105" s="232"/>
    </row>
    <row r="106" spans="2:6" ht="63" x14ac:dyDescent="0.35">
      <c r="B106" s="222" t="s">
        <v>252</v>
      </c>
      <c r="C106" s="187">
        <v>335</v>
      </c>
      <c r="D106" s="231" t="s">
        <v>257</v>
      </c>
      <c r="E106" s="232" t="s">
        <v>261</v>
      </c>
    </row>
    <row r="107" spans="2:6" ht="21" x14ac:dyDescent="0.35">
      <c r="B107" s="222" t="s">
        <v>211</v>
      </c>
      <c r="C107" s="187">
        <v>531</v>
      </c>
      <c r="D107" s="231" t="s">
        <v>212</v>
      </c>
      <c r="E107" s="232" t="s">
        <v>259</v>
      </c>
    </row>
    <row r="108" spans="2:6" ht="21" x14ac:dyDescent="0.35">
      <c r="B108" s="222" t="s">
        <v>209</v>
      </c>
      <c r="C108" s="187">
        <v>602</v>
      </c>
      <c r="D108" s="231" t="s">
        <v>210</v>
      </c>
      <c r="E108" s="232" t="s">
        <v>259</v>
      </c>
    </row>
    <row r="109" spans="2:6" ht="63" x14ac:dyDescent="0.35">
      <c r="B109" s="222" t="s">
        <v>253</v>
      </c>
      <c r="C109" s="187">
        <v>617</v>
      </c>
      <c r="D109" s="231" t="s">
        <v>258</v>
      </c>
      <c r="E109" s="232" t="s">
        <v>261</v>
      </c>
    </row>
    <row r="110" spans="2:6" ht="21" x14ac:dyDescent="0.35">
      <c r="B110" s="222" t="s">
        <v>214</v>
      </c>
      <c r="C110" s="187">
        <v>338</v>
      </c>
      <c r="D110" s="231" t="s">
        <v>215</v>
      </c>
      <c r="E110" s="232" t="s">
        <v>262</v>
      </c>
    </row>
    <row r="111" spans="2:6" ht="21" x14ac:dyDescent="0.35">
      <c r="B111" s="222"/>
      <c r="C111" s="187"/>
      <c r="D111" s="231"/>
      <c r="E111" s="232"/>
    </row>
    <row r="112" spans="2:6" ht="15.75" customHeight="1" x14ac:dyDescent="0.35">
      <c r="B112" s="222"/>
      <c r="C112" s="187"/>
      <c r="D112" s="231"/>
      <c r="E112" s="232"/>
      <c r="F112" s="87"/>
    </row>
    <row r="113" spans="2:6" ht="15.75" customHeight="1" x14ac:dyDescent="0.35">
      <c r="B113" s="222"/>
      <c r="C113" s="187"/>
      <c r="D113" s="231"/>
      <c r="E113" s="232"/>
      <c r="F113" s="87"/>
    </row>
    <row r="114" spans="2:6" ht="15.75" customHeight="1" x14ac:dyDescent="0.35">
      <c r="B114" s="222"/>
      <c r="C114" s="187"/>
      <c r="D114" s="231"/>
      <c r="E114" s="232"/>
      <c r="F114" s="87"/>
    </row>
    <row r="115" spans="2:6" ht="15.75" customHeight="1" x14ac:dyDescent="0.35">
      <c r="B115" s="222"/>
      <c r="C115" s="187"/>
      <c r="D115" s="231"/>
      <c r="E115" s="232"/>
      <c r="F115" s="87"/>
    </row>
    <row r="116" spans="2:6" ht="15.75" customHeight="1" x14ac:dyDescent="0.35">
      <c r="B116" s="222"/>
      <c r="C116" s="187"/>
      <c r="D116" s="231"/>
      <c r="E116" s="232"/>
    </row>
    <row r="117" spans="2:6" ht="16.5" customHeight="1" x14ac:dyDescent="0.35">
      <c r="B117" s="222"/>
      <c r="C117" s="197"/>
      <c r="D117" s="231"/>
      <c r="E117" s="232"/>
    </row>
    <row r="118" spans="2:6" ht="21" x14ac:dyDescent="0.35">
      <c r="B118" s="222"/>
      <c r="C118" s="187"/>
      <c r="D118" s="231"/>
      <c r="E118" s="232"/>
      <c r="F118" s="87"/>
    </row>
    <row r="119" spans="2:6" ht="21.75" thickBot="1" x14ac:dyDescent="0.4">
      <c r="B119" s="222"/>
      <c r="C119" s="187"/>
      <c r="D119" s="231"/>
      <c r="E119" s="232"/>
    </row>
    <row r="120" spans="2:6" ht="21.75" thickBot="1" x14ac:dyDescent="0.4">
      <c r="B120" s="183" t="s">
        <v>88</v>
      </c>
      <c r="C120" s="184" t="s">
        <v>30</v>
      </c>
      <c r="D120" s="185" t="s">
        <v>67</v>
      </c>
      <c r="E120" s="232"/>
    </row>
    <row r="121" spans="2:6" ht="21" customHeight="1" x14ac:dyDescent="0.35">
      <c r="B121" s="222" t="s">
        <v>207</v>
      </c>
      <c r="C121" s="187">
        <v>102</v>
      </c>
      <c r="D121" s="231" t="s">
        <v>208</v>
      </c>
      <c r="E121" s="232"/>
    </row>
    <row r="122" spans="2:6" ht="16.5" customHeight="1" x14ac:dyDescent="0.35">
      <c r="B122" s="222" t="s">
        <v>216</v>
      </c>
      <c r="C122" s="187">
        <v>421</v>
      </c>
      <c r="D122" s="231" t="s">
        <v>215</v>
      </c>
      <c r="E122" s="232"/>
    </row>
    <row r="123" spans="2:6" ht="21" x14ac:dyDescent="0.35">
      <c r="B123" s="222" t="s">
        <v>236</v>
      </c>
      <c r="C123" s="187">
        <v>438</v>
      </c>
      <c r="D123" s="231" t="s">
        <v>215</v>
      </c>
      <c r="E123" s="232"/>
    </row>
    <row r="124" spans="2:6" ht="21" x14ac:dyDescent="0.35">
      <c r="B124" s="222" t="s">
        <v>237</v>
      </c>
      <c r="C124" s="187">
        <v>554</v>
      </c>
      <c r="D124" s="231" t="s">
        <v>217</v>
      </c>
      <c r="E124" s="232"/>
    </row>
    <row r="125" spans="2:6" ht="21" x14ac:dyDescent="0.35">
      <c r="B125" s="222"/>
      <c r="C125" s="187"/>
      <c r="D125" s="231"/>
      <c r="E125" s="232"/>
    </row>
    <row r="126" spans="2:6" ht="21" x14ac:dyDescent="0.35">
      <c r="B126" s="222"/>
      <c r="C126" s="187"/>
      <c r="D126" s="231"/>
      <c r="E126" s="232"/>
    </row>
    <row r="127" spans="2:6" ht="21" x14ac:dyDescent="0.35">
      <c r="B127" s="222"/>
      <c r="C127" s="187"/>
      <c r="D127" s="231"/>
      <c r="E127" s="232"/>
    </row>
    <row r="128" spans="2:6" ht="21" x14ac:dyDescent="0.35">
      <c r="B128" s="222"/>
      <c r="C128" s="187"/>
      <c r="D128" s="231"/>
      <c r="E128" s="232"/>
    </row>
    <row r="129" spans="1:5" ht="21" x14ac:dyDescent="0.35">
      <c r="B129" s="222"/>
      <c r="C129" s="187"/>
      <c r="D129" s="231"/>
      <c r="E129" s="232"/>
    </row>
    <row r="130" spans="1:5" ht="21" x14ac:dyDescent="0.35">
      <c r="B130" s="222"/>
      <c r="C130" s="187"/>
      <c r="D130" s="231"/>
      <c r="E130" s="232"/>
    </row>
    <row r="131" spans="1:5" ht="21" x14ac:dyDescent="0.35">
      <c r="B131" s="222"/>
      <c r="C131" s="187"/>
      <c r="D131" s="231"/>
      <c r="E131" s="232"/>
    </row>
    <row r="132" spans="1:5" ht="21" x14ac:dyDescent="0.35">
      <c r="B132" s="222"/>
      <c r="C132" s="187"/>
      <c r="D132" s="231"/>
      <c r="E132" s="232"/>
    </row>
    <row r="133" spans="1:5" ht="21" x14ac:dyDescent="0.35">
      <c r="B133" s="222"/>
      <c r="C133" s="187"/>
      <c r="D133" s="231"/>
      <c r="E133" s="232"/>
    </row>
    <row r="134" spans="1:5" ht="21.75" thickBot="1" x14ac:dyDescent="0.4">
      <c r="B134" s="222"/>
      <c r="C134" s="187"/>
      <c r="D134" s="231"/>
      <c r="E134" s="232"/>
    </row>
    <row r="135" spans="1:5" ht="21" x14ac:dyDescent="0.35">
      <c r="A135" s="152" t="s">
        <v>77</v>
      </c>
      <c r="B135" s="227" t="s">
        <v>31</v>
      </c>
      <c r="C135" s="228" t="s">
        <v>32</v>
      </c>
      <c r="D135" s="229" t="s">
        <v>33</v>
      </c>
      <c r="E135" s="189" t="s">
        <v>34</v>
      </c>
    </row>
    <row r="136" spans="1:5" ht="15.75" customHeight="1" x14ac:dyDescent="0.35">
      <c r="A136" s="125" t="s">
        <v>90</v>
      </c>
      <c r="B136" s="230" t="s">
        <v>263</v>
      </c>
      <c r="C136" s="188">
        <v>29</v>
      </c>
      <c r="D136" s="230" t="s">
        <v>267</v>
      </c>
      <c r="E136" s="222" t="s">
        <v>271</v>
      </c>
    </row>
    <row r="137" spans="1:5" ht="15.75" customHeight="1" x14ac:dyDescent="0.35">
      <c r="A137" s="125" t="s">
        <v>89</v>
      </c>
      <c r="B137" s="230" t="s">
        <v>264</v>
      </c>
      <c r="C137" s="188">
        <v>52</v>
      </c>
      <c r="D137" s="230" t="s">
        <v>268</v>
      </c>
      <c r="E137" s="222" t="s">
        <v>272</v>
      </c>
    </row>
    <row r="138" spans="1:5" ht="15.75" customHeight="1" x14ac:dyDescent="0.35">
      <c r="A138" s="125"/>
      <c r="B138" s="230" t="s">
        <v>265</v>
      </c>
      <c r="C138" s="188">
        <v>16</v>
      </c>
      <c r="D138" s="222" t="s">
        <v>269</v>
      </c>
      <c r="E138" s="222" t="s">
        <v>273</v>
      </c>
    </row>
    <row r="139" spans="1:5" ht="15.75" customHeight="1" x14ac:dyDescent="0.35">
      <c r="B139" s="230" t="s">
        <v>266</v>
      </c>
      <c r="C139" s="188">
        <v>3</v>
      </c>
      <c r="D139" s="222" t="s">
        <v>270</v>
      </c>
      <c r="E139" s="188" t="s">
        <v>274</v>
      </c>
    </row>
    <row r="140" spans="1:5" ht="15.75" customHeight="1" x14ac:dyDescent="0.35">
      <c r="B140" s="222"/>
      <c r="C140" s="188"/>
      <c r="D140" s="188"/>
      <c r="E140" s="188"/>
    </row>
    <row r="141" spans="1:5" ht="15.75" customHeight="1" x14ac:dyDescent="0.35">
      <c r="B141" s="222"/>
      <c r="C141" s="188"/>
      <c r="D141" s="188"/>
      <c r="E141" s="188"/>
    </row>
    <row r="142" spans="1:5" ht="15.75" customHeight="1" x14ac:dyDescent="0.35">
      <c r="B142" s="222"/>
      <c r="C142" s="188"/>
      <c r="D142" s="188"/>
      <c r="E142" s="188"/>
    </row>
    <row r="143" spans="1:5" ht="15.75" customHeight="1" x14ac:dyDescent="0.35">
      <c r="B143" s="222"/>
      <c r="C143" s="188"/>
      <c r="D143" s="188"/>
      <c r="E143" s="188"/>
    </row>
    <row r="144" spans="1:5" ht="15.75" customHeight="1" x14ac:dyDescent="0.35">
      <c r="B144" s="222"/>
      <c r="C144" s="188"/>
      <c r="D144" s="188"/>
      <c r="E144" s="188"/>
    </row>
    <row r="145" spans="1:5" ht="15.75" customHeight="1" x14ac:dyDescent="0.35">
      <c r="B145" s="222"/>
      <c r="C145" s="188"/>
      <c r="D145" s="188"/>
      <c r="E145" s="188"/>
    </row>
    <row r="146" spans="1:5" ht="15.75" customHeight="1" x14ac:dyDescent="0.35">
      <c r="B146" s="190" t="s">
        <v>66</v>
      </c>
      <c r="C146" s="191" t="s">
        <v>66</v>
      </c>
      <c r="D146" s="191" t="s">
        <v>66</v>
      </c>
      <c r="E146" s="190" t="s">
        <v>66</v>
      </c>
    </row>
    <row r="147" spans="1:5" ht="15.75" customHeight="1" x14ac:dyDescent="0.35">
      <c r="B147" s="190" t="s">
        <v>66</v>
      </c>
      <c r="C147" s="191" t="s">
        <v>66</v>
      </c>
      <c r="D147" s="190" t="s">
        <v>66</v>
      </c>
      <c r="E147" s="191" t="s">
        <v>66</v>
      </c>
    </row>
    <row r="148" spans="1:5" ht="21" x14ac:dyDescent="0.35">
      <c r="B148" s="162"/>
      <c r="C148" s="162"/>
      <c r="D148" s="162"/>
      <c r="E148" s="162"/>
    </row>
    <row r="149" spans="1:5" ht="21.75" thickBot="1" x14ac:dyDescent="0.4">
      <c r="B149" s="162"/>
      <c r="C149" s="162"/>
      <c r="D149" s="162"/>
      <c r="E149" s="162"/>
    </row>
    <row r="150" spans="1:5" ht="31.5" x14ac:dyDescent="0.35">
      <c r="A150" s="17" t="s">
        <v>82</v>
      </c>
      <c r="B150" s="192">
        <f>D2</f>
        <v>45680</v>
      </c>
      <c r="C150" s="193">
        <v>269</v>
      </c>
      <c r="D150" s="162"/>
      <c r="E150" s="162"/>
    </row>
    <row r="151" spans="1:5" ht="21" x14ac:dyDescent="0.35">
      <c r="A151" t="s">
        <v>61</v>
      </c>
      <c r="B151" s="194">
        <f>B150+1</f>
        <v>45681</v>
      </c>
      <c r="C151" s="193">
        <v>263</v>
      </c>
      <c r="D151" s="162"/>
      <c r="E151" s="162"/>
    </row>
    <row r="152" spans="1:5" ht="21" x14ac:dyDescent="0.35">
      <c r="A152" s="17"/>
      <c r="B152" s="194">
        <f t="shared" ref="B152:B162" si="0">B151+1</f>
        <v>45682</v>
      </c>
      <c r="C152" s="193">
        <v>267</v>
      </c>
      <c r="D152" s="162"/>
      <c r="E152" s="162"/>
    </row>
    <row r="153" spans="1:5" ht="21" x14ac:dyDescent="0.35">
      <c r="B153" s="194">
        <f t="shared" si="0"/>
        <v>45683</v>
      </c>
      <c r="C153" s="193">
        <v>260</v>
      </c>
      <c r="D153" s="162"/>
      <c r="E153" s="162"/>
    </row>
    <row r="154" spans="1:5" ht="21" x14ac:dyDescent="0.35">
      <c r="B154" s="194">
        <f t="shared" si="0"/>
        <v>45684</v>
      </c>
      <c r="C154" s="193">
        <v>286</v>
      </c>
      <c r="D154" s="162"/>
      <c r="E154" s="162"/>
    </row>
    <row r="155" spans="1:5" ht="21" x14ac:dyDescent="0.35">
      <c r="B155" s="194">
        <f t="shared" si="0"/>
        <v>45685</v>
      </c>
      <c r="C155" s="193">
        <v>291</v>
      </c>
      <c r="D155" s="162"/>
      <c r="E155" s="162"/>
    </row>
    <row r="156" spans="1:5" ht="21" x14ac:dyDescent="0.35">
      <c r="B156" s="194">
        <f t="shared" si="0"/>
        <v>45686</v>
      </c>
      <c r="C156" s="193">
        <v>290</v>
      </c>
      <c r="D156" s="162"/>
      <c r="E156" s="162"/>
    </row>
    <row r="157" spans="1:5" ht="21" x14ac:dyDescent="0.35">
      <c r="B157" s="194">
        <f t="shared" si="0"/>
        <v>45687</v>
      </c>
      <c r="C157" s="193">
        <v>269</v>
      </c>
      <c r="D157" s="162"/>
      <c r="E157" s="162"/>
    </row>
    <row r="158" spans="1:5" ht="21" x14ac:dyDescent="0.35">
      <c r="B158" s="194">
        <f t="shared" si="0"/>
        <v>45688</v>
      </c>
      <c r="C158" s="193">
        <v>256</v>
      </c>
      <c r="D158" s="162"/>
      <c r="E158" s="162"/>
    </row>
    <row r="159" spans="1:5" ht="21" x14ac:dyDescent="0.35">
      <c r="B159" s="194">
        <f t="shared" si="0"/>
        <v>45689</v>
      </c>
      <c r="C159" s="193">
        <v>239</v>
      </c>
      <c r="D159" s="162"/>
      <c r="E159" s="162"/>
    </row>
    <row r="160" spans="1:5" ht="21" x14ac:dyDescent="0.35">
      <c r="B160" s="194">
        <f t="shared" si="0"/>
        <v>45690</v>
      </c>
      <c r="C160" s="193">
        <v>239</v>
      </c>
      <c r="D160" s="162"/>
      <c r="E160" s="162"/>
    </row>
    <row r="161" spans="1:5" ht="21" x14ac:dyDescent="0.35">
      <c r="B161" s="194">
        <f t="shared" si="0"/>
        <v>45691</v>
      </c>
      <c r="C161" s="193">
        <v>269</v>
      </c>
      <c r="D161" s="162"/>
      <c r="E161" s="162"/>
    </row>
    <row r="162" spans="1:5" ht="21.75" thickBot="1" x14ac:dyDescent="0.4">
      <c r="B162" s="195">
        <f t="shared" si="0"/>
        <v>45692</v>
      </c>
      <c r="C162" s="193">
        <v>269</v>
      </c>
      <c r="D162" s="162"/>
      <c r="E162" s="162"/>
    </row>
    <row r="163" spans="1:5" ht="21" x14ac:dyDescent="0.35">
      <c r="B163" s="162"/>
      <c r="C163" s="196"/>
      <c r="D163" s="162"/>
      <c r="E163" s="162"/>
    </row>
    <row r="164" spans="1:5" ht="21" x14ac:dyDescent="0.35">
      <c r="B164" s="162"/>
      <c r="C164" s="196"/>
      <c r="D164" s="162"/>
      <c r="E164" s="162"/>
    </row>
    <row r="165" spans="1:5" ht="46.5" x14ac:dyDescent="0.35">
      <c r="A165" s="17" t="s">
        <v>78</v>
      </c>
      <c r="B165" s="162"/>
      <c r="C165" s="155"/>
      <c r="D165" s="162"/>
      <c r="E165" s="162"/>
    </row>
    <row r="166" spans="1:5" ht="21" x14ac:dyDescent="0.35">
      <c r="B166" s="162"/>
      <c r="C166" s="162"/>
      <c r="D166" s="162"/>
      <c r="E166" s="162"/>
    </row>
    <row r="167" spans="1:5" ht="31.5" x14ac:dyDescent="0.35">
      <c r="A167" s="17" t="s">
        <v>79</v>
      </c>
      <c r="B167" s="162"/>
      <c r="C167" s="162"/>
      <c r="D167" s="162"/>
      <c r="E167" s="162"/>
    </row>
    <row r="168" spans="1:5" ht="21" x14ac:dyDescent="0.35">
      <c r="B168" s="162"/>
      <c r="C168" s="162"/>
      <c r="D168" s="162"/>
      <c r="E168" s="162"/>
    </row>
    <row r="169" spans="1:5" ht="21" x14ac:dyDescent="0.35">
      <c r="B169" s="162"/>
      <c r="C169" s="162"/>
      <c r="D169" s="162"/>
      <c r="E169" s="162"/>
    </row>
    <row r="170" spans="1:5" ht="21" x14ac:dyDescent="0.35">
      <c r="B170" s="162"/>
      <c r="C170" s="162"/>
      <c r="D170" s="162"/>
      <c r="E170" s="162"/>
    </row>
  </sheetData>
  <sheetProtection selectLockedCells="1"/>
  <protectedRanges>
    <protectedRange sqref="G28:G29" name="Range1"/>
    <protectedRange sqref="G32:G33" name="Range1_2"/>
    <protectedRange sqref="G37:G38" name="Range1_2_1"/>
    <protectedRange sqref="G39:G40" name="Range1_5"/>
    <protectedRange sqref="G41:G42" name="Range1_6"/>
    <protectedRange sqref="N49:N50" name="Range2"/>
    <protectedRange sqref="N37:N48" name="Range2_3"/>
    <protectedRange sqref="N30:N35 N8:N18 N20:N28" name="Range2_1"/>
    <protectedRange sqref="C17:F17 C7:F7" name="Range1_3_1"/>
    <protectedRange sqref="C19:F19 C9:F9" name="Range1_1_1_1"/>
    <protectedRange sqref="C99 C117 C93:C94" name="Range2_1_1"/>
    <protectedRange sqref="C136:C145" name="Range2_3_1_1"/>
    <protectedRange sqref="C6:F6 C16:F16" name="Range1_3_1_1_2_1"/>
    <protectedRange sqref="C8:F8 C18:F18" name="Range1_1_1_1_1_2_1"/>
    <protectedRange sqref="C118 C78 C96:C97 C86:C87 C89 C91:C92 C132:C133 C130 C108 C112 C102 C104 C106 C126:C127 C123" name="Range2_1_1_3"/>
  </protectedRanges>
  <mergeCells count="7">
    <mergeCell ref="B1:C1"/>
    <mergeCell ref="B62:B64"/>
    <mergeCell ref="B58:B60"/>
    <mergeCell ref="C3:F3"/>
    <mergeCell ref="C14:F14"/>
    <mergeCell ref="B27:C27"/>
    <mergeCell ref="A50:XFD50"/>
  </mergeCells>
  <phoneticPr fontId="283" type="noConversion"/>
  <pageMargins left="0.7" right="0.7" top="0.75" bottom="0.75" header="0.3" footer="0.3"/>
  <pageSetup scale="1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2">
    <tabColor theme="7" tint="0.59999389629810485"/>
    <pageSetUpPr fitToPage="1"/>
  </sheetPr>
  <dimension ref="A1:X68"/>
  <sheetViews>
    <sheetView tabSelected="1" zoomScale="85" zoomScaleNormal="85" workbookViewId="0">
      <selection activeCell="G33" sqref="G33"/>
    </sheetView>
  </sheetViews>
  <sheetFormatPr defaultColWidth="9.140625" defaultRowHeight="15" x14ac:dyDescent="0.25"/>
  <cols>
    <col min="1" max="1" width="17.140625" style="29" customWidth="1"/>
    <col min="2" max="2" width="19.85546875" style="29" bestFit="1" customWidth="1"/>
    <col min="3" max="3" width="16.28515625" style="29" bestFit="1" customWidth="1"/>
    <col min="4" max="4" width="24.140625" style="29" customWidth="1"/>
    <col min="5" max="6" width="16.5703125" style="29" customWidth="1"/>
    <col min="7" max="15" width="15.7109375" style="29" customWidth="1"/>
    <col min="16" max="16" width="25.140625" style="29" customWidth="1"/>
    <col min="17" max="17" width="9.140625" style="29"/>
    <col min="18" max="18" width="16.42578125" style="29" customWidth="1"/>
    <col min="19" max="16384" width="9.140625" style="29"/>
  </cols>
  <sheetData>
    <row r="1" spans="1:24" ht="25.5" customHeight="1" x14ac:dyDescent="0.25">
      <c r="A1" s="307" t="s">
        <v>36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X1" s="30"/>
    </row>
    <row r="2" spans="1:24" ht="25.5" customHeight="1" x14ac:dyDescent="0.25">
      <c r="A2" s="307"/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X2" s="31"/>
    </row>
    <row r="3" spans="1:24" ht="16.5" hidden="1" customHeight="1" thickBot="1" x14ac:dyDescent="0.3">
      <c r="A3" s="31"/>
      <c r="B3" s="32" t="s">
        <v>37</v>
      </c>
      <c r="C3" s="33">
        <v>267</v>
      </c>
      <c r="D3" s="31"/>
      <c r="E3" s="34"/>
      <c r="F3" s="34"/>
      <c r="G3" s="31"/>
      <c r="H3" s="31"/>
      <c r="I3" s="31"/>
      <c r="J3" s="31"/>
      <c r="K3" s="31"/>
      <c r="X3" s="31"/>
    </row>
    <row r="4" spans="1:24" ht="16.5" customHeight="1" x14ac:dyDescent="0.25">
      <c r="A4" s="31"/>
      <c r="B4" s="31"/>
      <c r="C4" s="35"/>
      <c r="D4" s="31"/>
      <c r="E4" s="34"/>
      <c r="F4" s="34"/>
      <c r="G4" s="31"/>
      <c r="H4" s="31"/>
      <c r="I4" s="31"/>
      <c r="J4" s="31"/>
      <c r="K4" s="31"/>
      <c r="X4" s="31"/>
    </row>
    <row r="5" spans="1:24" ht="16.5" customHeight="1" thickBot="1" x14ac:dyDescent="0.3">
      <c r="A5" s="31"/>
      <c r="B5" s="31"/>
      <c r="C5" s="35"/>
      <c r="D5" s="31"/>
      <c r="E5" s="34"/>
      <c r="F5" s="34"/>
      <c r="G5" s="31"/>
      <c r="H5" s="31"/>
      <c r="I5" s="31"/>
      <c r="J5" s="31"/>
      <c r="K5" s="31"/>
      <c r="X5" s="31"/>
    </row>
    <row r="6" spans="1:24" ht="21" customHeight="1" thickBot="1" x14ac:dyDescent="0.3">
      <c r="A6" s="221" t="s">
        <v>38</v>
      </c>
      <c r="B6" s="220">
        <f>'Set-up'!D2</f>
        <v>45680</v>
      </c>
      <c r="C6" s="31"/>
      <c r="D6" s="118" t="s">
        <v>35</v>
      </c>
      <c r="E6" s="153">
        <f>'Set-up'!C165</f>
        <v>0</v>
      </c>
      <c r="F6" s="154"/>
      <c r="W6" s="31"/>
    </row>
    <row r="7" spans="1:24" ht="8.25" customHeight="1" thickBot="1" x14ac:dyDescent="0.3">
      <c r="A7" s="31"/>
      <c r="B7" s="31"/>
      <c r="C7" s="34"/>
      <c r="D7" s="31"/>
      <c r="E7" s="34"/>
      <c r="F7" s="34"/>
      <c r="G7" s="31"/>
      <c r="X7" s="31"/>
    </row>
    <row r="8" spans="1:24" ht="20.25" customHeight="1" thickBot="1" x14ac:dyDescent="0.3">
      <c r="A8" s="31"/>
      <c r="B8" s="36" t="s">
        <v>39</v>
      </c>
      <c r="C8" s="37"/>
      <c r="D8" s="101">
        <f>'Set-up'!C150</f>
        <v>269</v>
      </c>
      <c r="E8" s="101">
        <f>'Set-up'!C151</f>
        <v>263</v>
      </c>
      <c r="F8" s="101">
        <f>'Set-up'!C152</f>
        <v>267</v>
      </c>
      <c r="G8" s="101">
        <f>'Set-up'!C153</f>
        <v>260</v>
      </c>
      <c r="H8" s="101">
        <f>'Set-up'!C154</f>
        <v>286</v>
      </c>
      <c r="I8" s="101">
        <f>'Set-up'!C155</f>
        <v>291</v>
      </c>
      <c r="J8" s="101">
        <f>'Set-up'!C156</f>
        <v>290</v>
      </c>
      <c r="K8" s="101">
        <f>'Set-up'!C157</f>
        <v>269</v>
      </c>
      <c r="L8" s="101">
        <f>'Set-up'!C158</f>
        <v>256</v>
      </c>
      <c r="M8" s="101">
        <f>'Set-up'!C159</f>
        <v>239</v>
      </c>
      <c r="N8" s="101">
        <f>'Set-up'!C160</f>
        <v>239</v>
      </c>
      <c r="O8" s="101">
        <f>'Set-up'!C161</f>
        <v>269</v>
      </c>
      <c r="P8" s="101">
        <f>'Set-up'!C162</f>
        <v>269</v>
      </c>
      <c r="X8" s="31"/>
    </row>
    <row r="9" spans="1:24" ht="15.75" x14ac:dyDescent="0.25">
      <c r="A9" s="31"/>
      <c r="B9" s="38" t="s">
        <v>40</v>
      </c>
      <c r="C9" s="39">
        <f>B6-1</f>
        <v>45679</v>
      </c>
      <c r="D9" s="40">
        <f>C9+1</f>
        <v>45680</v>
      </c>
      <c r="E9" s="41">
        <f t="shared" ref="E9:P9" si="0">D9+1</f>
        <v>45681</v>
      </c>
      <c r="F9" s="41">
        <f t="shared" si="0"/>
        <v>45682</v>
      </c>
      <c r="G9" s="41">
        <f t="shared" si="0"/>
        <v>45683</v>
      </c>
      <c r="H9" s="41">
        <f t="shared" si="0"/>
        <v>45684</v>
      </c>
      <c r="I9" s="41">
        <f t="shared" si="0"/>
        <v>45685</v>
      </c>
      <c r="J9" s="41">
        <f t="shared" si="0"/>
        <v>45686</v>
      </c>
      <c r="K9" s="41">
        <f t="shared" si="0"/>
        <v>45687</v>
      </c>
      <c r="L9" s="41">
        <f t="shared" si="0"/>
        <v>45688</v>
      </c>
      <c r="M9" s="41">
        <f t="shared" si="0"/>
        <v>45689</v>
      </c>
      <c r="N9" s="41">
        <f t="shared" si="0"/>
        <v>45690</v>
      </c>
      <c r="O9" s="41">
        <f t="shared" si="0"/>
        <v>45691</v>
      </c>
      <c r="P9" s="42">
        <f t="shared" si="0"/>
        <v>45692</v>
      </c>
      <c r="X9" s="31"/>
    </row>
    <row r="10" spans="1:24" ht="16.5" customHeight="1" thickBot="1" x14ac:dyDescent="0.3">
      <c r="A10" s="31"/>
      <c r="B10" s="43" t="s">
        <v>41</v>
      </c>
      <c r="C10" s="26">
        <f>+B6-1</f>
        <v>45679</v>
      </c>
      <c r="D10" s="44">
        <f>+B6</f>
        <v>45680</v>
      </c>
      <c r="E10" s="45">
        <f>+B6+1</f>
        <v>45681</v>
      </c>
      <c r="F10" s="45">
        <f>+$B$6+2</f>
        <v>45682</v>
      </c>
      <c r="G10" s="45">
        <f>+$B$6+3</f>
        <v>45683</v>
      </c>
      <c r="H10" s="45">
        <f>+$B$6+4</f>
        <v>45684</v>
      </c>
      <c r="I10" s="45">
        <f>+$B$6+5</f>
        <v>45685</v>
      </c>
      <c r="J10" s="45">
        <f>+$B$6+6</f>
        <v>45686</v>
      </c>
      <c r="K10" s="45">
        <f>+$B$6+7</f>
        <v>45687</v>
      </c>
      <c r="L10" s="45">
        <f>+$B$6+8</f>
        <v>45688</v>
      </c>
      <c r="M10" s="45">
        <f>+$B$6+9</f>
        <v>45689</v>
      </c>
      <c r="N10" s="45">
        <f>+$B$6+10</f>
        <v>45690</v>
      </c>
      <c r="O10" s="45">
        <f>+$B$6+11</f>
        <v>45691</v>
      </c>
      <c r="P10" s="46">
        <f>+$B$6+12</f>
        <v>45692</v>
      </c>
      <c r="R10" s="47"/>
      <c r="S10" s="47"/>
      <c r="T10" s="47"/>
      <c r="X10" s="31"/>
    </row>
    <row r="11" spans="1:24" ht="15.75" x14ac:dyDescent="0.25">
      <c r="A11" s="31"/>
      <c r="B11" s="48" t="s">
        <v>42</v>
      </c>
      <c r="C11" s="49">
        <f>'Set-up'!C28</f>
        <v>107</v>
      </c>
      <c r="D11" s="49">
        <f>'IMPORT REPORT 14.008'!Z2</f>
        <v>90</v>
      </c>
      <c r="E11" s="107">
        <f>'IMPORT REPORT 14.008'!Z3</f>
        <v>100</v>
      </c>
      <c r="F11" s="107">
        <f>'IMPORT REPORT 14.008'!Z4</f>
        <v>99</v>
      </c>
      <c r="G11" s="107">
        <f>'IMPORT REPORT 14.008'!Z5</f>
        <v>93</v>
      </c>
      <c r="H11" s="107">
        <f>'IMPORT REPORT 14.008'!Z6</f>
        <v>133</v>
      </c>
      <c r="I11" s="107">
        <f>'IMPORT REPORT 14.008'!Z7</f>
        <v>149</v>
      </c>
      <c r="J11" s="107">
        <f>'IMPORT REPORT 14.008'!Z8</f>
        <v>199</v>
      </c>
      <c r="K11" s="107">
        <f>'IMPORT REPORT 14.008'!Z9</f>
        <v>150</v>
      </c>
      <c r="L11" s="107">
        <f>'IMPORT REPORT 14.008'!Z10</f>
        <v>134</v>
      </c>
      <c r="M11" s="107">
        <f>'IMPORT REPORT 14.008'!Z11</f>
        <v>111</v>
      </c>
      <c r="N11" s="107">
        <f>'IMPORT REPORT 14.008'!Z12</f>
        <v>92</v>
      </c>
      <c r="O11" s="107">
        <f>'IMPORT REPORT 14.008'!Z13</f>
        <v>121</v>
      </c>
      <c r="P11" s="98">
        <f>'IMPORT REPORT 14.008'!Z14</f>
        <v>129</v>
      </c>
      <c r="R11" s="47"/>
      <c r="S11" s="47"/>
      <c r="T11" s="47"/>
      <c r="X11" s="31"/>
    </row>
    <row r="12" spans="1:24" ht="15.75" x14ac:dyDescent="0.25">
      <c r="A12" s="31"/>
      <c r="B12" s="50" t="s">
        <v>43</v>
      </c>
      <c r="C12" s="51">
        <f>C11/$C$3</f>
        <v>0.40074906367041196</v>
      </c>
      <c r="D12" s="52">
        <f t="shared" ref="D12:P12" si="1">D11/$C$3</f>
        <v>0.33707865168539325</v>
      </c>
      <c r="E12" s="53">
        <f t="shared" si="1"/>
        <v>0.37453183520599254</v>
      </c>
      <c r="F12" s="53">
        <f t="shared" si="1"/>
        <v>0.3707865168539326</v>
      </c>
      <c r="G12" s="53">
        <f t="shared" si="1"/>
        <v>0.34831460674157305</v>
      </c>
      <c r="H12" s="53">
        <f t="shared" si="1"/>
        <v>0.49812734082397003</v>
      </c>
      <c r="I12" s="53">
        <f t="shared" si="1"/>
        <v>0.55805243445692887</v>
      </c>
      <c r="J12" s="53">
        <f t="shared" si="1"/>
        <v>0.74531835205992514</v>
      </c>
      <c r="K12" s="53">
        <f t="shared" si="1"/>
        <v>0.5617977528089888</v>
      </c>
      <c r="L12" s="53">
        <f t="shared" si="1"/>
        <v>0.50187265917602997</v>
      </c>
      <c r="M12" s="53">
        <f t="shared" si="1"/>
        <v>0.4157303370786517</v>
      </c>
      <c r="N12" s="53">
        <f t="shared" si="1"/>
        <v>0.34456928838951312</v>
      </c>
      <c r="O12" s="53">
        <f t="shared" si="1"/>
        <v>0.45318352059925093</v>
      </c>
      <c r="P12" s="54">
        <f t="shared" si="1"/>
        <v>0.48314606741573035</v>
      </c>
      <c r="Q12" s="35"/>
      <c r="R12" s="47"/>
      <c r="S12" s="47"/>
      <c r="T12" s="47"/>
      <c r="X12" s="31"/>
    </row>
    <row r="13" spans="1:24" ht="16.5" customHeight="1" x14ac:dyDescent="0.25">
      <c r="A13" s="31"/>
      <c r="B13" s="50" t="s">
        <v>44</v>
      </c>
      <c r="C13" s="55">
        <f>'Set-up'!C29</f>
        <v>23570.05</v>
      </c>
      <c r="D13" s="56">
        <f>'IMPORT REPORT 14.008'!$Y$2</f>
        <v>20063.3207547169</v>
      </c>
      <c r="E13" s="57">
        <f>'IMPORT REPORT 14.008'!$Y$3</f>
        <v>22252.462264150901</v>
      </c>
      <c r="F13" s="57">
        <f>'IMPORT REPORT 14.008'!$Y$4</f>
        <v>20405.905660377299</v>
      </c>
      <c r="G13" s="57">
        <f>'IMPORT REPORT 14.008'!$Y$5</f>
        <v>16610.999999999902</v>
      </c>
      <c r="H13" s="57">
        <f>'IMPORT REPORT 14.008'!$Y$6</f>
        <v>25017.2830188679</v>
      </c>
      <c r="I13" s="57">
        <f>'IMPORT REPORT 14.008'!$Y$7</f>
        <v>29909.716981131998</v>
      </c>
      <c r="J13" s="57">
        <f>'IMPORT REPORT 14.008'!$Y$8</f>
        <v>37245.150943396198</v>
      </c>
      <c r="K13" s="57">
        <f>'IMPORT REPORT 14.008'!$Y$9</f>
        <v>30506.537735849</v>
      </c>
      <c r="L13" s="57">
        <f>'IMPORT REPORT 14.008'!$Y$10</f>
        <v>24694.377358490499</v>
      </c>
      <c r="M13" s="57">
        <f>'IMPORT REPORT 14.008'!$Y$11</f>
        <v>19788.8490566037</v>
      </c>
      <c r="N13" s="57">
        <f>'IMPORT REPORT 14.008'!$Y$12</f>
        <v>18228.075471698099</v>
      </c>
      <c r="O13" s="57">
        <f>'IMPORT REPORT 14.008'!$Y$13</f>
        <v>23532.5849056603</v>
      </c>
      <c r="P13" s="58">
        <f>'IMPORT REPORT 14.008'!$Y$14</f>
        <v>23487.839622641499</v>
      </c>
      <c r="R13" s="29" t="s">
        <v>45</v>
      </c>
      <c r="X13" s="31"/>
    </row>
    <row r="14" spans="1:24" ht="16.5" thickBot="1" x14ac:dyDescent="0.3">
      <c r="A14" s="31"/>
      <c r="B14" s="59" t="s">
        <v>9</v>
      </c>
      <c r="C14" s="128">
        <f>C13/C11</f>
        <v>220.28084112149531</v>
      </c>
      <c r="D14" s="60">
        <f>D13/D11</f>
        <v>222.92578616352111</v>
      </c>
      <c r="E14" s="61">
        <f t="shared" ref="E14:P14" si="2">+E13/E11</f>
        <v>222.52462264150901</v>
      </c>
      <c r="F14" s="61">
        <f t="shared" si="2"/>
        <v>206.12025919573028</v>
      </c>
      <c r="G14" s="61">
        <f t="shared" si="2"/>
        <v>178.61290322580538</v>
      </c>
      <c r="H14" s="61">
        <f t="shared" si="2"/>
        <v>188.09987232231504</v>
      </c>
      <c r="I14" s="61">
        <f t="shared" si="2"/>
        <v>200.7363555780671</v>
      </c>
      <c r="J14" s="61">
        <f t="shared" si="2"/>
        <v>187.16156252962915</v>
      </c>
      <c r="K14" s="61">
        <f t="shared" si="2"/>
        <v>203.37691823899334</v>
      </c>
      <c r="L14" s="61">
        <f t="shared" si="2"/>
        <v>184.28639819769029</v>
      </c>
      <c r="M14" s="61">
        <f t="shared" si="2"/>
        <v>178.27791942886216</v>
      </c>
      <c r="N14" s="61">
        <f t="shared" si="2"/>
        <v>198.13125512715325</v>
      </c>
      <c r="O14" s="61">
        <f t="shared" si="2"/>
        <v>194.48417277405207</v>
      </c>
      <c r="P14" s="62">
        <f t="shared" si="2"/>
        <v>182.07627614450774</v>
      </c>
      <c r="X14" s="31"/>
    </row>
    <row r="15" spans="1:24" ht="15.75" x14ac:dyDescent="0.25">
      <c r="A15" s="31"/>
      <c r="B15" s="63" t="s">
        <v>46</v>
      </c>
      <c r="C15" s="64"/>
      <c r="D15" s="49">
        <f>'IMPORT REPORT 14.008'!$AF2</f>
        <v>54</v>
      </c>
      <c r="E15" s="107">
        <f>'IMPORT REPORT 14.008'!$AF3</f>
        <v>54</v>
      </c>
      <c r="F15" s="107">
        <f>'IMPORT REPORT 14.008'!$AF4</f>
        <v>37</v>
      </c>
      <c r="G15" s="107">
        <f>'IMPORT REPORT 14.008'!$AF5</f>
        <v>56</v>
      </c>
      <c r="H15" s="107">
        <f>'IMPORT REPORT 14.008'!$AF6</f>
        <v>69</v>
      </c>
      <c r="I15" s="107">
        <f>'IMPORT REPORT 14.008'!$AF7</f>
        <v>65</v>
      </c>
      <c r="J15" s="107">
        <f>'IMPORT REPORT 14.008'!$AF8</f>
        <v>117</v>
      </c>
      <c r="K15" s="107">
        <f>'IMPORT REPORT 14.008'!$AF9</f>
        <v>32</v>
      </c>
      <c r="L15" s="107">
        <f>'IMPORT REPORT 14.008'!$AF10</f>
        <v>84</v>
      </c>
      <c r="M15" s="107">
        <f>'IMPORT REPORT 14.008'!$AF11</f>
        <v>23</v>
      </c>
      <c r="N15" s="107">
        <f>'IMPORT REPORT 14.008'!$AF12</f>
        <v>35</v>
      </c>
      <c r="O15" s="107">
        <f>'IMPORT REPORT 14.008'!$AF13</f>
        <v>27</v>
      </c>
      <c r="P15" s="98">
        <f>'IMPORT REPORT 14.008'!$AF14</f>
        <v>46</v>
      </c>
      <c r="X15" s="31"/>
    </row>
    <row r="16" spans="1:24" ht="16.5" thickBot="1" x14ac:dyDescent="0.3">
      <c r="A16" s="31"/>
      <c r="B16" s="104" t="s">
        <v>47</v>
      </c>
      <c r="C16" s="105"/>
      <c r="D16" s="106">
        <f>'IMPORT REPORT 14.008'!$AG2</f>
        <v>73</v>
      </c>
      <c r="E16" s="116">
        <f>'IMPORT REPORT 14.008'!$AG3</f>
        <v>42</v>
      </c>
      <c r="F16" s="116">
        <f>'IMPORT REPORT 14.008'!$AG4</f>
        <v>57</v>
      </c>
      <c r="G16" s="116">
        <f>'IMPORT REPORT 14.008'!$AG5</f>
        <v>62</v>
      </c>
      <c r="H16" s="116">
        <f>'IMPORT REPORT 14.008'!$AG6</f>
        <v>45</v>
      </c>
      <c r="I16" s="116">
        <f>'IMPORT REPORT 14.008'!$AG7</f>
        <v>39</v>
      </c>
      <c r="J16" s="116">
        <f>'IMPORT REPORT 14.008'!$AG8</f>
        <v>60</v>
      </c>
      <c r="K16" s="116">
        <f>'IMPORT REPORT 14.008'!$AG9</f>
        <v>82</v>
      </c>
      <c r="L16" s="116">
        <f>'IMPORT REPORT 14.008'!$AG10</f>
        <v>100</v>
      </c>
      <c r="M16" s="116">
        <f>'IMPORT REPORT 14.008'!$AG11</f>
        <v>56</v>
      </c>
      <c r="N16" s="116">
        <f>'IMPORT REPORT 14.008'!$AG12</f>
        <v>59</v>
      </c>
      <c r="O16" s="116">
        <f>'IMPORT REPORT 14.008'!$AG13</f>
        <v>14</v>
      </c>
      <c r="P16" s="103">
        <f>'IMPORT REPORT 14.008'!$AG14</f>
        <v>26</v>
      </c>
    </row>
    <row r="17" spans="1:24" ht="16.5" thickBot="1" x14ac:dyDescent="0.3">
      <c r="A17" s="31"/>
      <c r="B17" s="36" t="s">
        <v>48</v>
      </c>
      <c r="C17" s="121"/>
      <c r="D17" s="120">
        <f>'IMPORT REPORT 14.008'!$AE2</f>
        <v>120</v>
      </c>
      <c r="E17" s="65">
        <f>'IMPORT REPORT 14.008'!$AE3</f>
        <v>160</v>
      </c>
      <c r="F17" s="65">
        <f>'IMPORT REPORT 14.008'!$AE4</f>
        <v>169</v>
      </c>
      <c r="G17" s="65">
        <f>'IMPORT REPORT 14.008'!$AE5</f>
        <v>144</v>
      </c>
      <c r="H17" s="65">
        <f>'IMPORT REPORT 14.008'!$AE6</f>
        <v>155</v>
      </c>
      <c r="I17" s="65">
        <f>'IMPORT REPORT 14.008'!$AE7</f>
        <v>181</v>
      </c>
      <c r="J17" s="65">
        <f>'IMPORT REPORT 14.008'!$AE8</f>
        <v>246</v>
      </c>
      <c r="K17" s="65">
        <f>'IMPORT REPORT 14.008'!$AE9</f>
        <v>195</v>
      </c>
      <c r="L17" s="65">
        <f>'IMPORT REPORT 14.008'!$AE10</f>
        <v>213</v>
      </c>
      <c r="M17" s="65">
        <f>'IMPORT REPORT 14.008'!$AE11</f>
        <v>179</v>
      </c>
      <c r="N17" s="65">
        <f>'IMPORT REPORT 14.008'!$AE12</f>
        <v>112</v>
      </c>
      <c r="O17" s="65">
        <f>'IMPORT REPORT 14.008'!$AE13</f>
        <v>139</v>
      </c>
      <c r="P17" s="66">
        <f>'IMPORT REPORT 14.008'!$AE14</f>
        <v>149</v>
      </c>
    </row>
    <row r="18" spans="1:24" ht="16.5" thickBot="1" x14ac:dyDescent="0.3">
      <c r="A18" s="31"/>
      <c r="C18" s="67"/>
      <c r="D18" s="67"/>
      <c r="E18" s="67"/>
      <c r="F18" s="67"/>
      <c r="G18" s="31"/>
      <c r="X18" s="30"/>
    </row>
    <row r="19" spans="1:24" ht="16.5" thickBot="1" x14ac:dyDescent="0.3">
      <c r="A19" s="31"/>
      <c r="B19" s="31"/>
      <c r="C19" s="68" t="str">
        <f>+'Set-up'!C5</f>
        <v>January</v>
      </c>
      <c r="D19" s="69" t="str">
        <f>+'Set-up'!D5</f>
        <v>February</v>
      </c>
      <c r="E19" s="69" t="str">
        <f>+'Set-up'!E5</f>
        <v>March</v>
      </c>
      <c r="F19" s="70" t="str">
        <f>+'Set-up'!F5</f>
        <v>April</v>
      </c>
      <c r="G19" s="31"/>
      <c r="H19" s="284" t="str">
        <f>('Set-up'!B76)</f>
        <v>VIP Arrivals</v>
      </c>
      <c r="I19" s="285"/>
      <c r="J19" s="285"/>
      <c r="K19" s="285"/>
      <c r="L19" s="123" t="str">
        <f>('Set-up'!C76)</f>
        <v>Room N°</v>
      </c>
      <c r="M19" s="308" t="str">
        <f>('Set-up'!D76)</f>
        <v>VIP Level</v>
      </c>
      <c r="N19" s="308"/>
      <c r="O19" s="308"/>
      <c r="P19" s="309"/>
      <c r="X19" s="30"/>
    </row>
    <row r="20" spans="1:24" ht="16.5" customHeight="1" x14ac:dyDescent="0.25">
      <c r="A20" s="251" t="s">
        <v>49</v>
      </c>
      <c r="B20" s="71" t="s">
        <v>50</v>
      </c>
      <c r="C20" s="107">
        <f>'Set-up'!C7</f>
        <v>3567</v>
      </c>
      <c r="D20" s="98">
        <f>'Set-up'!D7</f>
        <v>2322</v>
      </c>
      <c r="E20" s="98">
        <f>'Set-up'!E7</f>
        <v>1847</v>
      </c>
      <c r="F20" s="98">
        <f>'Set-up'!F7</f>
        <v>1107</v>
      </c>
      <c r="G20" s="31"/>
      <c r="H20" s="313" t="str">
        <f>('Set-up'!B77)</f>
        <v>Wistrom,Jonas</v>
      </c>
      <c r="I20" s="314"/>
      <c r="J20" s="314"/>
      <c r="K20" s="314"/>
      <c r="L20" s="161">
        <f>('Set-up'!C77)</f>
        <v>306</v>
      </c>
      <c r="M20" s="310" t="str">
        <f>('Set-up'!D77)</f>
        <v>CEO of Ratos</v>
      </c>
      <c r="N20" s="311"/>
      <c r="O20" s="311"/>
      <c r="P20" s="312"/>
      <c r="X20" s="31"/>
    </row>
    <row r="21" spans="1:24" ht="15" customHeight="1" x14ac:dyDescent="0.25">
      <c r="A21" s="252"/>
      <c r="B21" s="72" t="s">
        <v>51</v>
      </c>
      <c r="C21" s="113">
        <f>'Set-up'!C8-C18</f>
        <v>761603.18</v>
      </c>
      <c r="D21" s="114">
        <f>'Set-up'!D8</f>
        <v>436667.3</v>
      </c>
      <c r="E21" s="114">
        <f>'Set-up'!E8</f>
        <v>416396.45</v>
      </c>
      <c r="F21" s="114">
        <f>'Set-up'!F8</f>
        <v>193885.98</v>
      </c>
      <c r="G21" s="31"/>
      <c r="H21" s="313" t="str">
        <f>('Set-up'!B78)</f>
        <v>Dassault,Laurent</v>
      </c>
      <c r="I21" s="314"/>
      <c r="J21" s="314"/>
      <c r="K21" s="314"/>
      <c r="L21" s="161">
        <f>('Set-up'!C78)</f>
        <v>310</v>
      </c>
      <c r="M21" s="310" t="str">
        <f>('Set-up'!D78)</f>
        <v>French businessman</v>
      </c>
      <c r="N21" s="311"/>
      <c r="O21" s="311"/>
      <c r="P21" s="312"/>
      <c r="X21" s="31"/>
    </row>
    <row r="22" spans="1:24" ht="15" customHeight="1" x14ac:dyDescent="0.25">
      <c r="A22" s="252"/>
      <c r="B22" s="72" t="s">
        <v>9</v>
      </c>
      <c r="C22" s="73">
        <f>C21/C20</f>
        <v>213.51364732268013</v>
      </c>
      <c r="D22" s="73">
        <f>D21/D20</f>
        <v>188.05654608096469</v>
      </c>
      <c r="E22" s="74">
        <f>E21/E20</f>
        <v>225.44474824038983</v>
      </c>
      <c r="F22" s="74">
        <f>F21/F20</f>
        <v>175.14542005420054</v>
      </c>
      <c r="G22" s="31"/>
      <c r="H22" s="260" t="str">
        <f>('Set-up'!B79)</f>
        <v>Bakker,Miel Alexander,Mr Prof.</v>
      </c>
      <c r="I22" s="266"/>
      <c r="J22" s="266"/>
      <c r="K22" s="267"/>
      <c r="L22" s="100">
        <f>('Set-up'!C79)</f>
        <v>343</v>
      </c>
      <c r="M22" s="257" t="str">
        <f>('Set-up'!D79)</f>
        <v>Regular guest</v>
      </c>
      <c r="N22" s="258"/>
      <c r="O22" s="258"/>
      <c r="P22" s="259"/>
      <c r="X22" s="31"/>
    </row>
    <row r="23" spans="1:24" ht="15" customHeight="1" thickBot="1" x14ac:dyDescent="0.3">
      <c r="A23" s="253"/>
      <c r="B23" s="75" t="s">
        <v>52</v>
      </c>
      <c r="C23" s="76">
        <f>Today!C20/(($C$3*'Set-up'!C4)-'Set-up'!C10)</f>
        <v>0.44047913064954308</v>
      </c>
      <c r="D23" s="76">
        <f>Today!D20/(($C$3*'Set-up'!D4)-'Set-up'!D10)</f>
        <v>0.31531776208582291</v>
      </c>
      <c r="E23" s="77">
        <f>Today!E20/(($C$3*'Set-up'!E4)-'Set-up'!E10)</f>
        <v>0.22654237703912669</v>
      </c>
      <c r="F23" s="77">
        <f>Today!F20/(($C$3*'Set-up'!F4)-'Set-up'!F10)</f>
        <v>0.14030418250950571</v>
      </c>
      <c r="G23" s="31"/>
      <c r="H23" s="260" t="str">
        <f>('Set-up'!B80)</f>
        <v>CAMPHUIS,Armand,M.</v>
      </c>
      <c r="I23" s="266"/>
      <c r="J23" s="266"/>
      <c r="K23" s="267"/>
      <c r="L23" s="100">
        <f>('Set-up'!C80)</f>
        <v>403</v>
      </c>
      <c r="M23" s="257" t="str">
        <f>('Set-up'!D80)</f>
        <v>Critique d’art I Curateur · CAMPHUIS.ART + long stayer</v>
      </c>
      <c r="N23" s="258"/>
      <c r="O23" s="258"/>
      <c r="P23" s="259"/>
      <c r="X23" s="31"/>
    </row>
    <row r="24" spans="1:24" ht="15" customHeight="1" thickBot="1" x14ac:dyDescent="0.3">
      <c r="A24" s="290"/>
      <c r="B24" s="291"/>
      <c r="C24" s="294"/>
      <c r="D24" s="294"/>
      <c r="E24" s="294"/>
      <c r="F24" s="295"/>
      <c r="G24" s="31"/>
      <c r="H24" s="260" t="str">
        <f>('Set-up'!B81)</f>
        <v>Engineer,Milan</v>
      </c>
      <c r="I24" s="266"/>
      <c r="J24" s="266"/>
      <c r="K24" s="267"/>
      <c r="L24" s="100">
        <f>('Set-up'!C81)</f>
        <v>406</v>
      </c>
      <c r="M24" s="257" t="str">
        <f>('Set-up'!D81)</f>
        <v>FHR</v>
      </c>
      <c r="N24" s="258"/>
      <c r="O24" s="258"/>
      <c r="P24" s="259"/>
      <c r="X24" s="31"/>
    </row>
    <row r="25" spans="1:24" ht="15.75" x14ac:dyDescent="0.25">
      <c r="A25" s="251" t="s">
        <v>53</v>
      </c>
      <c r="B25" s="71" t="s">
        <v>50</v>
      </c>
      <c r="C25" s="49">
        <f>C20-'Set-up'!C17</f>
        <v>34</v>
      </c>
      <c r="D25" s="107">
        <f>D20-'Set-up'!D17</f>
        <v>51</v>
      </c>
      <c r="E25" s="107">
        <f>E20-'Set-up'!E17</f>
        <v>-18</v>
      </c>
      <c r="F25" s="98">
        <f>F20-'Set-up'!F17</f>
        <v>-13</v>
      </c>
      <c r="G25" s="31"/>
      <c r="H25" s="296" t="str">
        <f>('Set-up'!B82)</f>
        <v>Brandt Ofverholm,Erik</v>
      </c>
      <c r="I25" s="280"/>
      <c r="J25" s="280"/>
      <c r="K25" s="280"/>
      <c r="L25" s="99">
        <f>('Set-up'!C82)</f>
        <v>421</v>
      </c>
      <c r="M25" s="281" t="str">
        <f>('Set-up'!D82)</f>
        <v>Guest of the day - booking</v>
      </c>
      <c r="N25" s="282"/>
      <c r="O25" s="282"/>
      <c r="P25" s="283"/>
      <c r="X25" s="31"/>
    </row>
    <row r="26" spans="1:24" ht="17.25" x14ac:dyDescent="0.25">
      <c r="A26" s="252"/>
      <c r="B26" s="72" t="s">
        <v>51</v>
      </c>
      <c r="C26" s="112">
        <f>C21-'Set-up'!C18</f>
        <v>11290.030000000028</v>
      </c>
      <c r="D26" s="78">
        <f>D21-'Set-up'!D18</f>
        <v>6404.0999999999767</v>
      </c>
      <c r="E26" s="78">
        <f>E21-'Set-up'!E18</f>
        <v>-6487.7999999999884</v>
      </c>
      <c r="F26" s="79">
        <f>F21-'Set-up'!F18</f>
        <v>-4379.8099999999977</v>
      </c>
      <c r="G26" s="31"/>
      <c r="H26" s="296" t="str">
        <f>('Set-up'!B83)</f>
        <v>Simonsen,Morten,MR</v>
      </c>
      <c r="I26" s="280"/>
      <c r="J26" s="280"/>
      <c r="K26" s="280"/>
      <c r="L26" s="99">
        <f>('Set-up'!C83)</f>
        <v>430</v>
      </c>
      <c r="M26" s="281" t="str">
        <f>('Set-up'!D83)</f>
        <v>Managing Director and Head of Distribution for
Northern Europe</v>
      </c>
      <c r="N26" s="282"/>
      <c r="O26" s="282"/>
      <c r="P26" s="283"/>
      <c r="X26" s="31"/>
    </row>
    <row r="27" spans="1:24" ht="16.5" thickBot="1" x14ac:dyDescent="0.3">
      <c r="A27" s="253"/>
      <c r="B27" s="75" t="s">
        <v>9</v>
      </c>
      <c r="C27" s="80">
        <f>C22-'Set-up'!C19</f>
        <v>1.1408338497109867</v>
      </c>
      <c r="D27" s="81">
        <f>D22-'Set-up'!D19</f>
        <v>-1.4032513650943201</v>
      </c>
      <c r="E27" s="81">
        <f>E22-'Set-up'!E19</f>
        <v>-1.3028388909774549</v>
      </c>
      <c r="F27" s="82">
        <f>F22-'Set-up'!F19</f>
        <v>-1.8776067315137368</v>
      </c>
      <c r="G27" s="31"/>
      <c r="H27" s="279" t="str">
        <f>('Set-up'!B84)</f>
        <v>Querel,Gregory</v>
      </c>
      <c r="I27" s="280"/>
      <c r="J27" s="280"/>
      <c r="K27" s="280"/>
      <c r="L27" s="99">
        <f>('Set-up'!C84)</f>
        <v>512</v>
      </c>
      <c r="M27" s="281" t="str">
        <f>('Set-up'!D84)</f>
        <v>Guest of the day - booking</v>
      </c>
      <c r="N27" s="282"/>
      <c r="O27" s="282"/>
      <c r="P27" s="283"/>
      <c r="X27" s="31"/>
    </row>
    <row r="28" spans="1:24" ht="16.5" thickBot="1" x14ac:dyDescent="0.3">
      <c r="A28" s="290"/>
      <c r="B28" s="291"/>
      <c r="C28" s="292"/>
      <c r="D28" s="292"/>
      <c r="E28" s="292"/>
      <c r="F28" s="293"/>
      <c r="G28" s="31"/>
      <c r="H28" s="279" t="str">
        <f>('Set-up'!B85)</f>
        <v>Mukendi Kalambayi,Edouard</v>
      </c>
      <c r="I28" s="280"/>
      <c r="J28" s="280"/>
      <c r="K28" s="280"/>
      <c r="L28" s="99">
        <f>('Set-up'!C85)</f>
        <v>532</v>
      </c>
      <c r="M28" s="281" t="str">
        <f>('Set-up'!D85)</f>
        <v>Guest of the day - booking</v>
      </c>
      <c r="N28" s="282"/>
      <c r="O28" s="282"/>
      <c r="P28" s="283"/>
    </row>
    <row r="29" spans="1:24" ht="15.75" x14ac:dyDescent="0.25">
      <c r="A29" s="251" t="s">
        <v>25</v>
      </c>
      <c r="B29" s="71" t="s">
        <v>54</v>
      </c>
      <c r="C29" s="98">
        <v>3707</v>
      </c>
      <c r="D29" s="98">
        <v>4730</v>
      </c>
      <c r="E29" s="98">
        <v>5272</v>
      </c>
      <c r="F29" s="98">
        <v>4778</v>
      </c>
      <c r="G29" s="31" t="s">
        <v>45</v>
      </c>
      <c r="H29" s="260" t="str">
        <f>('Set-up'!B86)</f>
        <v>Gorteman,Denis,M.</v>
      </c>
      <c r="I29" s="266"/>
      <c r="J29" s="266"/>
      <c r="K29" s="267"/>
      <c r="L29" s="100">
        <f>('Set-up'!C86)</f>
        <v>538</v>
      </c>
      <c r="M29" s="257" t="str">
        <f>('Set-up'!D86)</f>
        <v>CEO d'Ieteren Auto + regular guest</v>
      </c>
      <c r="N29" s="258"/>
      <c r="O29" s="258"/>
      <c r="P29" s="259"/>
    </row>
    <row r="30" spans="1:24" ht="15.75" x14ac:dyDescent="0.25">
      <c r="A30" s="252"/>
      <c r="B30" s="72" t="s">
        <v>51</v>
      </c>
      <c r="C30" s="111">
        <v>826475.96152000001</v>
      </c>
      <c r="D30" s="111">
        <v>981720.50699999998</v>
      </c>
      <c r="E30" s="111">
        <v>1216410.4247099999</v>
      </c>
      <c r="F30" s="111">
        <v>1200587.15487</v>
      </c>
      <c r="G30" s="31"/>
      <c r="H30" s="260" t="str">
        <f>('Set-up'!B87)</f>
        <v>Schuster,Axel</v>
      </c>
      <c r="I30" s="266"/>
      <c r="J30" s="266"/>
      <c r="K30" s="267"/>
      <c r="L30" s="100">
        <f>('Set-up'!C87)</f>
        <v>540</v>
      </c>
      <c r="M30" s="257" t="str">
        <f>('Set-up'!D87)</f>
        <v>Half board menu - 3 course dinner at Loui Bar</v>
      </c>
      <c r="N30" s="258"/>
      <c r="O30" s="258"/>
      <c r="P30" s="259"/>
    </row>
    <row r="31" spans="1:24" ht="16.5" customHeight="1" thickBot="1" x14ac:dyDescent="0.3">
      <c r="A31" s="252"/>
      <c r="B31" s="83" t="s">
        <v>9</v>
      </c>
      <c r="C31" s="82">
        <f>C30/C29</f>
        <v>222.95008403560831</v>
      </c>
      <c r="D31" s="82">
        <f>D30/D29</f>
        <v>207.55190422832982</v>
      </c>
      <c r="E31" s="82">
        <f>E30/E29</f>
        <v>230.73035370068283</v>
      </c>
      <c r="F31" s="82">
        <f>F30/F29</f>
        <v>251.2739964148179</v>
      </c>
      <c r="G31" s="31"/>
      <c r="H31" s="260" t="str">
        <f>('Set-up'!B88)</f>
        <v>Malanda Miyila,Francois,M.</v>
      </c>
      <c r="I31" s="266"/>
      <c r="J31" s="266"/>
      <c r="K31" s="267"/>
      <c r="L31" s="100">
        <f>('Set-up'!C88)</f>
        <v>601</v>
      </c>
      <c r="M31" s="257" t="str">
        <f>('Set-up'!D88)</f>
        <v>long stayer</v>
      </c>
      <c r="N31" s="258"/>
      <c r="O31" s="258"/>
      <c r="P31" s="259"/>
    </row>
    <row r="32" spans="1:24" ht="16.5" customHeight="1" x14ac:dyDescent="0.25">
      <c r="A32" s="252"/>
      <c r="B32" s="71" t="s">
        <v>55</v>
      </c>
      <c r="C32" s="108">
        <f>C20-C29</f>
        <v>-140</v>
      </c>
      <c r="D32" s="109">
        <f t="shared" ref="C32:F33" si="3">D20-D29</f>
        <v>-2408</v>
      </c>
      <c r="E32" s="109">
        <f t="shared" si="3"/>
        <v>-3425</v>
      </c>
      <c r="F32" s="110">
        <f t="shared" si="3"/>
        <v>-3671</v>
      </c>
      <c r="G32" s="31"/>
      <c r="H32" s="260" t="str">
        <f>('Set-up'!B89)</f>
        <v>Codognotto,Clara</v>
      </c>
      <c r="I32" s="266"/>
      <c r="J32" s="266"/>
      <c r="K32" s="267"/>
      <c r="L32" s="100">
        <f>('Set-up'!C89)</f>
        <v>619</v>
      </c>
      <c r="M32" s="257" t="str">
        <f>('Set-up'!D89)</f>
        <v>VIP - as per Jeanne MKT</v>
      </c>
      <c r="N32" s="258"/>
      <c r="O32" s="258"/>
      <c r="P32" s="259"/>
    </row>
    <row r="33" spans="1:16" ht="15.75" customHeight="1" thickBot="1" x14ac:dyDescent="0.3">
      <c r="A33" s="253"/>
      <c r="B33" s="75" t="s">
        <v>56</v>
      </c>
      <c r="C33" s="84">
        <f t="shared" si="3"/>
        <v>-64872.78151999996</v>
      </c>
      <c r="D33" s="85">
        <f t="shared" si="3"/>
        <v>-545053.20699999994</v>
      </c>
      <c r="E33" s="85">
        <f t="shared" si="3"/>
        <v>-800013.97470999998</v>
      </c>
      <c r="F33" s="86">
        <f t="shared" si="3"/>
        <v>-1006701.17487</v>
      </c>
      <c r="G33" s="31"/>
      <c r="H33" s="260" t="str">
        <f>('Set-up'!B90)</f>
        <v>Calarco,Tommaso,Herr</v>
      </c>
      <c r="I33" s="266"/>
      <c r="J33" s="266"/>
      <c r="K33" s="267"/>
      <c r="L33" s="100">
        <f>('Set-up'!C90)</f>
        <v>0</v>
      </c>
      <c r="M33" s="257" t="str">
        <f>('Set-up'!D90)</f>
        <v>Director, Institute for Quantum Control PGI-8</v>
      </c>
      <c r="N33" s="258"/>
      <c r="O33" s="258"/>
      <c r="P33" s="259"/>
    </row>
    <row r="34" spans="1:16" ht="15" customHeight="1" thickBot="1" x14ac:dyDescent="0.3">
      <c r="A34" s="290"/>
      <c r="B34" s="291"/>
      <c r="C34" s="294"/>
      <c r="D34" s="294"/>
      <c r="E34" s="294"/>
      <c r="F34" s="295"/>
      <c r="G34" s="31"/>
      <c r="H34" s="260">
        <f>('Set-up'!B91)</f>
        <v>0</v>
      </c>
      <c r="I34" s="266"/>
      <c r="J34" s="266"/>
      <c r="K34" s="267"/>
      <c r="L34" s="100">
        <f>('Set-up'!C91)</f>
        <v>0</v>
      </c>
      <c r="M34" s="257">
        <f>('Set-up'!D91)</f>
        <v>0</v>
      </c>
      <c r="N34" s="258"/>
      <c r="O34" s="258"/>
      <c r="P34" s="259"/>
    </row>
    <row r="35" spans="1:16" ht="15.75" x14ac:dyDescent="0.25">
      <c r="A35" s="251" t="s">
        <v>26</v>
      </c>
      <c r="B35" s="71" t="s">
        <v>54</v>
      </c>
      <c r="C35" s="98">
        <v>3707</v>
      </c>
      <c r="D35" s="98">
        <v>4730</v>
      </c>
      <c r="E35" s="98">
        <v>5272</v>
      </c>
      <c r="F35" s="98">
        <v>4778</v>
      </c>
      <c r="G35" s="31"/>
      <c r="H35" s="260">
        <f>('Set-up'!B92)</f>
        <v>0</v>
      </c>
      <c r="I35" s="266"/>
      <c r="J35" s="266"/>
      <c r="K35" s="267"/>
      <c r="L35" s="100">
        <f>('Set-up'!C92)</f>
        <v>0</v>
      </c>
      <c r="M35" s="257">
        <f>('Set-up'!D92)</f>
        <v>0</v>
      </c>
      <c r="N35" s="258"/>
      <c r="O35" s="258"/>
      <c r="P35" s="259"/>
    </row>
    <row r="36" spans="1:16" ht="16.5" thickBot="1" x14ac:dyDescent="0.3">
      <c r="A36" s="252"/>
      <c r="B36" s="72" t="s">
        <v>51</v>
      </c>
      <c r="C36" s="111">
        <v>826475.96152000001</v>
      </c>
      <c r="D36" s="111">
        <v>981720.50699999998</v>
      </c>
      <c r="E36" s="111">
        <v>1216410.4247099999</v>
      </c>
      <c r="F36" s="111">
        <v>1200587.15487</v>
      </c>
      <c r="G36" s="31"/>
      <c r="H36" s="254">
        <f>('Set-up'!B93)</f>
        <v>0</v>
      </c>
      <c r="I36" s="255"/>
      <c r="J36" s="255"/>
      <c r="K36" s="256"/>
      <c r="L36" s="100">
        <f>('Set-up'!C93)</f>
        <v>0</v>
      </c>
      <c r="M36" s="297">
        <f>('Set-up'!D93)</f>
        <v>0</v>
      </c>
      <c r="N36" s="255"/>
      <c r="O36" s="255"/>
      <c r="P36" s="298"/>
    </row>
    <row r="37" spans="1:16" ht="16.5" customHeight="1" thickBot="1" x14ac:dyDescent="0.3">
      <c r="A37" s="252"/>
      <c r="B37" s="83" t="s">
        <v>9</v>
      </c>
      <c r="C37" s="129">
        <f>+C36/C35</f>
        <v>222.95008403560831</v>
      </c>
      <c r="D37" s="130">
        <f>+D36/D35</f>
        <v>207.55190422832982</v>
      </c>
      <c r="E37" s="82">
        <f>+E36/E35</f>
        <v>230.73035370068283</v>
      </c>
      <c r="F37" s="82">
        <f>F36/F35</f>
        <v>251.2739964148179</v>
      </c>
      <c r="G37" s="31"/>
      <c r="H37" s="303" t="str">
        <f>('Set-up'!B100)</f>
        <v>VIP In House</v>
      </c>
      <c r="I37" s="304"/>
      <c r="J37" s="304"/>
      <c r="K37" s="304"/>
      <c r="L37" s="123" t="str">
        <f>('Set-up'!C100)</f>
        <v>Room N°</v>
      </c>
      <c r="M37" s="285" t="str">
        <f>('Set-up'!D100)</f>
        <v>VIP Level</v>
      </c>
      <c r="N37" s="285"/>
      <c r="O37" s="285"/>
      <c r="P37" s="302"/>
    </row>
    <row r="38" spans="1:16" ht="15.75" x14ac:dyDescent="0.25">
      <c r="A38" s="252"/>
      <c r="B38" s="71" t="s">
        <v>55</v>
      </c>
      <c r="C38" s="108">
        <f t="shared" ref="C38:F39" si="4">C20-C35</f>
        <v>-140</v>
      </c>
      <c r="D38" s="109">
        <f t="shared" si="4"/>
        <v>-2408</v>
      </c>
      <c r="E38" s="109">
        <f>E20-E35</f>
        <v>-3425</v>
      </c>
      <c r="F38" s="110">
        <f t="shared" si="4"/>
        <v>-3671</v>
      </c>
      <c r="G38" s="31"/>
      <c r="H38" s="305" t="str">
        <f>('Set-up'!B101)</f>
        <v>Baruti,Mwayuma,Mme</v>
      </c>
      <c r="I38" s="306"/>
      <c r="J38" s="306"/>
      <c r="K38" s="306"/>
      <c r="L38" s="160">
        <f>('Set-up'!C101)</f>
        <v>501</v>
      </c>
      <c r="M38" s="299" t="str">
        <f>('Set-up'!D101)</f>
        <v>long stayer</v>
      </c>
      <c r="N38" s="300"/>
      <c r="O38" s="300"/>
      <c r="P38" s="301"/>
    </row>
    <row r="39" spans="1:16" ht="15.75" customHeight="1" thickBot="1" x14ac:dyDescent="0.3">
      <c r="A39" s="253"/>
      <c r="B39" s="75" t="s">
        <v>56</v>
      </c>
      <c r="C39" s="84">
        <f t="shared" si="4"/>
        <v>-64872.78151999996</v>
      </c>
      <c r="D39" s="85">
        <f t="shared" si="4"/>
        <v>-545053.20699999994</v>
      </c>
      <c r="E39" s="85">
        <f t="shared" si="4"/>
        <v>-800013.97470999998</v>
      </c>
      <c r="F39" s="86">
        <f t="shared" si="4"/>
        <v>-1006701.17487</v>
      </c>
      <c r="G39" s="31"/>
      <c r="H39" s="268" t="str">
        <f>('Set-up'!B102)</f>
        <v>Heineking,Lutz,Mr</v>
      </c>
      <c r="I39" s="266"/>
      <c r="J39" s="266"/>
      <c r="K39" s="267"/>
      <c r="L39" s="161">
        <f>('Set-up'!C102)</f>
        <v>352</v>
      </c>
      <c r="M39" s="263" t="str">
        <f>('Set-up'!D102)</f>
        <v>Film producer</v>
      </c>
      <c r="N39" s="270"/>
      <c r="O39" s="270"/>
      <c r="P39" s="271"/>
    </row>
    <row r="40" spans="1:16" ht="15.75" x14ac:dyDescent="0.25">
      <c r="A40"/>
      <c r="G40" s="31"/>
      <c r="H40" s="260" t="str">
        <f>('Set-up'!B103)</f>
        <v>Abrantes Dos Santos,Lucia,Mrs</v>
      </c>
      <c r="I40" s="261"/>
      <c r="J40" s="261"/>
      <c r="K40" s="262"/>
      <c r="L40" s="161">
        <f>('Set-up'!C103)</f>
        <v>519</v>
      </c>
      <c r="M40" s="269" t="str">
        <f>('Set-up'!D103)</f>
        <v>regular guest - VIP</v>
      </c>
      <c r="N40" s="270"/>
      <c r="O40" s="270"/>
      <c r="P40" s="271"/>
    </row>
    <row r="41" spans="1:16" ht="16.5" thickBot="1" x14ac:dyDescent="0.3">
      <c r="A41" s="131"/>
      <c r="B41" s="132"/>
      <c r="C41" s="133"/>
      <c r="G41" s="31"/>
      <c r="H41" s="260" t="str">
        <f>('Set-up'!B104)</f>
        <v>Abrantes Dos Santos,Lucia,Mrs</v>
      </c>
      <c r="I41" s="261"/>
      <c r="J41" s="261"/>
      <c r="K41" s="262"/>
      <c r="L41" s="161">
        <f>('Set-up'!C104)</f>
        <v>519</v>
      </c>
      <c r="M41" s="263" t="str">
        <f>('Set-up'!D104)</f>
        <v>Director of the Macau Economic and Trade
Delegation in Lisbon</v>
      </c>
      <c r="N41" s="264"/>
      <c r="O41" s="264"/>
      <c r="P41" s="265"/>
    </row>
    <row r="42" spans="1:16" ht="16.5" customHeight="1" thickBot="1" x14ac:dyDescent="0.3">
      <c r="A42" s="251" t="s">
        <v>62</v>
      </c>
      <c r="B42" s="137" t="s">
        <v>40</v>
      </c>
      <c r="C42" s="137" t="s">
        <v>63</v>
      </c>
      <c r="G42" s="31"/>
      <c r="H42" s="260">
        <f>('Set-up'!B105)</f>
        <v>0</v>
      </c>
      <c r="I42" s="261"/>
      <c r="J42" s="261"/>
      <c r="K42" s="262"/>
      <c r="L42" s="161">
        <f>('Set-up'!C105)</f>
        <v>0</v>
      </c>
      <c r="M42" s="263">
        <f>('Set-up'!D105)</f>
        <v>0</v>
      </c>
      <c r="N42" s="264"/>
      <c r="O42" s="264"/>
      <c r="P42" s="265"/>
    </row>
    <row r="43" spans="1:16" ht="15.75" x14ac:dyDescent="0.25">
      <c r="A43" s="252"/>
      <c r="B43" s="138">
        <f>'Set-up'!C63</f>
        <v>0</v>
      </c>
      <c r="C43" s="139">
        <f>'Set-up'!D63</f>
        <v>0</v>
      </c>
      <c r="G43" s="31"/>
      <c r="H43" s="260" t="str">
        <f>('Set-up'!B106)</f>
        <v>DE BRYAS,Salome,Mme</v>
      </c>
      <c r="I43" s="261"/>
      <c r="J43" s="261"/>
      <c r="K43" s="262"/>
      <c r="L43" s="161">
        <f>('Set-up'!C106)</f>
        <v>335</v>
      </c>
      <c r="M43" s="263" t="str">
        <f>('Set-up'!D106)</f>
        <v>Director of Sales - Impressionist and Modern Art ·
HELENE BAILLY + long stayer</v>
      </c>
      <c r="N43" s="264"/>
      <c r="O43" s="264"/>
      <c r="P43" s="265"/>
    </row>
    <row r="44" spans="1:16" ht="16.5" thickBot="1" x14ac:dyDescent="0.3">
      <c r="A44" s="253"/>
      <c r="B44" s="136"/>
      <c r="C44" s="135"/>
      <c r="H44" s="268" t="str">
        <f>('Set-up'!B107)</f>
        <v>Vrouchos,Nikolaos</v>
      </c>
      <c r="I44" s="266"/>
      <c r="J44" s="266"/>
      <c r="K44" s="267"/>
      <c r="L44" s="161">
        <f>('Set-up'!C107)</f>
        <v>531</v>
      </c>
      <c r="M44" s="263" t="str">
        <f>('Set-up'!D107)</f>
        <v>Guest of the day - Booking</v>
      </c>
      <c r="N44" s="264"/>
      <c r="O44" s="264"/>
      <c r="P44" s="265"/>
    </row>
    <row r="45" spans="1:16" ht="15.75" customHeight="1" thickBot="1" x14ac:dyDescent="0.3">
      <c r="A45" s="94"/>
      <c r="B45" s="1"/>
      <c r="C45" s="134" t="str">
        <f>C19</f>
        <v>January</v>
      </c>
      <c r="D45" s="88" t="str">
        <f>D19</f>
        <v>February</v>
      </c>
      <c r="E45" s="89" t="str">
        <f>E19</f>
        <v>March</v>
      </c>
      <c r="H45" s="260" t="str">
        <f>('Set-up'!B108)</f>
        <v>Burki,Daphé,Mme</v>
      </c>
      <c r="I45" s="261"/>
      <c r="J45" s="261"/>
      <c r="K45" s="262"/>
      <c r="L45" s="161">
        <f>('Set-up'!C108)</f>
        <v>602</v>
      </c>
      <c r="M45" s="263" t="str">
        <f>('Set-up'!D108)</f>
        <v>French television presenter</v>
      </c>
      <c r="N45" s="264"/>
      <c r="O45" s="264"/>
      <c r="P45" s="265"/>
    </row>
    <row r="46" spans="1:16" ht="15.75" x14ac:dyDescent="0.25">
      <c r="A46" s="320" t="s">
        <v>57</v>
      </c>
      <c r="B46" s="95" t="s">
        <v>25</v>
      </c>
      <c r="C46" s="92">
        <f>'Set-up'!C68</f>
        <v>160917</v>
      </c>
      <c r="D46" s="92">
        <f>'Set-up'!D68</f>
        <v>275488</v>
      </c>
      <c r="E46" s="93">
        <f>'Set-up'!E68</f>
        <v>460381</v>
      </c>
      <c r="H46" s="268" t="str">
        <f>('Set-up'!B109)</f>
        <v>BAILLY,HELENE,Mme</v>
      </c>
      <c r="I46" s="266"/>
      <c r="J46" s="266"/>
      <c r="K46" s="267"/>
      <c r="L46" s="159">
        <f>('Set-up'!C109)</f>
        <v>617</v>
      </c>
      <c r="M46" s="263" t="str">
        <f>('Set-up'!D109)</f>
        <v>Fondatrice de la galerie d'art Helene Bailly + Long
stayer</v>
      </c>
      <c r="N46" s="264"/>
      <c r="O46" s="264"/>
      <c r="P46" s="265"/>
    </row>
    <row r="47" spans="1:16" ht="16.5" thickBot="1" x14ac:dyDescent="0.3">
      <c r="A47" s="321"/>
      <c r="B47" s="96" t="s">
        <v>56</v>
      </c>
      <c r="C47" s="85">
        <f>'Set-up'!C71-'Set-up'!C68</f>
        <v>-160917</v>
      </c>
      <c r="D47" s="85">
        <f>'Set-up'!D71-'Set-up'!D68</f>
        <v>-275488</v>
      </c>
      <c r="E47" s="86">
        <f>'Set-up'!E71-'Set-up'!E68</f>
        <v>-460381</v>
      </c>
      <c r="H47" s="260" t="str">
        <f>('Set-up'!B110)</f>
        <v>Mankwaka,Alicia</v>
      </c>
      <c r="I47" s="261"/>
      <c r="J47" s="261"/>
      <c r="K47" s="262"/>
      <c r="L47" s="159">
        <f>('Set-up'!C110)</f>
        <v>338</v>
      </c>
      <c r="M47" s="263" t="str">
        <f>('Set-up'!D110)</f>
        <v>Guest of the day - booking</v>
      </c>
      <c r="N47" s="264"/>
      <c r="O47" s="264"/>
      <c r="P47" s="265"/>
    </row>
    <row r="48" spans="1:16" ht="16.5" thickBot="1" x14ac:dyDescent="0.3">
      <c r="A48" s="321"/>
      <c r="B48" s="156"/>
      <c r="C48" s="157"/>
      <c r="D48" s="157"/>
      <c r="E48" s="158"/>
      <c r="H48" s="268">
        <f>('Set-up'!B111)</f>
        <v>0</v>
      </c>
      <c r="I48" s="266"/>
      <c r="J48" s="266"/>
      <c r="K48" s="267"/>
      <c r="L48" s="159">
        <f>('Set-up'!C111)</f>
        <v>0</v>
      </c>
      <c r="M48" s="263">
        <f>('Set-up'!D111)</f>
        <v>0</v>
      </c>
      <c r="N48" s="264"/>
      <c r="O48" s="264"/>
      <c r="P48" s="265"/>
    </row>
    <row r="49" spans="1:16" ht="15.75" x14ac:dyDescent="0.25">
      <c r="A49" s="321"/>
      <c r="B49" s="95" t="s">
        <v>26</v>
      </c>
      <c r="C49" s="92">
        <f>'Set-up'!C69</f>
        <v>160917</v>
      </c>
      <c r="D49" s="92">
        <f>'Set-up'!D69</f>
        <v>275488</v>
      </c>
      <c r="E49" s="93">
        <f>'Set-up'!E69</f>
        <v>546797.55000000005</v>
      </c>
      <c r="H49" s="274">
        <f>('Set-up'!B112)</f>
        <v>0</v>
      </c>
      <c r="I49" s="275"/>
      <c r="J49" s="275"/>
      <c r="K49" s="276"/>
      <c r="L49" s="161">
        <f>('Set-up'!C112)</f>
        <v>0</v>
      </c>
      <c r="M49" s="263">
        <f>('Set-up'!D112)</f>
        <v>0</v>
      </c>
      <c r="N49" s="264"/>
      <c r="O49" s="264"/>
      <c r="P49" s="265"/>
    </row>
    <row r="50" spans="1:16" ht="16.5" thickBot="1" x14ac:dyDescent="0.3">
      <c r="A50" s="321"/>
      <c r="B50" s="97" t="s">
        <v>56</v>
      </c>
      <c r="C50" s="85">
        <f>'Set-up'!C71-'Set-up'!C69</f>
        <v>-160917</v>
      </c>
      <c r="D50" s="85">
        <f>'Set-up'!D71-'Set-up'!D69</f>
        <v>-275488</v>
      </c>
      <c r="E50" s="86">
        <f>'Set-up'!E71-'Set-up'!E69</f>
        <v>-546797.55000000005</v>
      </c>
      <c r="H50" s="268">
        <f>('Set-up'!B113)</f>
        <v>0</v>
      </c>
      <c r="I50" s="266"/>
      <c r="J50" s="266"/>
      <c r="K50" s="267"/>
      <c r="L50" s="99">
        <f>('Set-up'!C113)</f>
        <v>0</v>
      </c>
      <c r="M50" s="257">
        <f>('Set-up'!D113)</f>
        <v>0</v>
      </c>
      <c r="N50" s="277"/>
      <c r="O50" s="277"/>
      <c r="P50" s="278"/>
    </row>
    <row r="51" spans="1:16" ht="16.5" customHeight="1" thickBot="1" x14ac:dyDescent="0.3">
      <c r="A51" s="322"/>
      <c r="B51" s="102" t="s">
        <v>58</v>
      </c>
      <c r="C51" s="90">
        <f>'Set-up'!C72</f>
        <v>0</v>
      </c>
      <c r="D51" s="90">
        <f>'Set-up'!D72</f>
        <v>0</v>
      </c>
      <c r="E51" s="91">
        <f>'Set-up'!E72</f>
        <v>0</v>
      </c>
      <c r="H51" s="260">
        <f>('Set-up'!B114)</f>
        <v>0</v>
      </c>
      <c r="I51" s="261"/>
      <c r="J51" s="261"/>
      <c r="K51" s="262"/>
      <c r="L51" s="100">
        <f>('Set-up'!C114)</f>
        <v>0</v>
      </c>
      <c r="M51" s="257">
        <f>('Set-up'!D114)</f>
        <v>0</v>
      </c>
      <c r="N51" s="277"/>
      <c r="O51" s="277"/>
      <c r="P51" s="278"/>
    </row>
    <row r="52" spans="1:16" ht="16.5" thickBot="1" x14ac:dyDescent="0.3">
      <c r="H52" s="289">
        <f>('Set-up'!B115)</f>
        <v>0</v>
      </c>
      <c r="I52" s="275"/>
      <c r="J52" s="275"/>
      <c r="K52" s="276"/>
      <c r="L52" s="161">
        <f>('Set-up'!C115)</f>
        <v>0</v>
      </c>
      <c r="M52" s="263">
        <f>('Set-up'!D115)</f>
        <v>0</v>
      </c>
      <c r="N52" s="264"/>
      <c r="O52" s="264"/>
      <c r="P52" s="265"/>
    </row>
    <row r="53" spans="1:16" ht="16.5" thickBot="1" x14ac:dyDescent="0.3">
      <c r="A53" s="323" t="s">
        <v>31</v>
      </c>
      <c r="B53" s="318"/>
      <c r="C53" s="122" t="s">
        <v>32</v>
      </c>
      <c r="D53" s="317" t="s">
        <v>33</v>
      </c>
      <c r="E53" s="318"/>
      <c r="F53" s="117" t="s">
        <v>59</v>
      </c>
      <c r="H53" s="260">
        <f>('Set-up'!B116)</f>
        <v>0</v>
      </c>
      <c r="I53" s="266"/>
      <c r="J53" s="266"/>
      <c r="K53" s="267"/>
      <c r="L53" s="99">
        <f>('Set-up'!C116)</f>
        <v>0</v>
      </c>
      <c r="M53" s="257">
        <f>('Set-up'!D116)</f>
        <v>0</v>
      </c>
      <c r="N53" s="277"/>
      <c r="O53" s="277"/>
      <c r="P53" s="278"/>
    </row>
    <row r="54" spans="1:16" ht="15.75" x14ac:dyDescent="0.25">
      <c r="A54" s="234" t="str">
        <f>('Set-up'!$B$136)</f>
        <v>Flossbach von Storch</v>
      </c>
      <c r="B54" s="235"/>
      <c r="C54" s="115">
        <f>('Set-up'!$C$136)</f>
        <v>29</v>
      </c>
      <c r="D54" s="328" t="str">
        <f>('Set-up'!$D$136)</f>
        <v>Bellevue A + Bellevue B
Corridor Bellevue
Corridor Bellevue
Corridor Bellevue</v>
      </c>
      <c r="E54" s="329"/>
      <c r="F54" s="119" t="str">
        <f>('Set-up'!$E$136)</f>
        <v>Yannick Nelissen Grade</v>
      </c>
      <c r="H54" s="274">
        <f>('Set-up'!B116)</f>
        <v>0</v>
      </c>
      <c r="I54" s="275"/>
      <c r="J54" s="275"/>
      <c r="K54" s="276"/>
      <c r="L54" s="161">
        <f>('Set-up'!C116)</f>
        <v>0</v>
      </c>
      <c r="M54" s="263">
        <f>('Set-up'!D116)</f>
        <v>0</v>
      </c>
      <c r="N54" s="264"/>
      <c r="O54" s="264"/>
      <c r="P54" s="265"/>
    </row>
    <row r="55" spans="1:16" ht="15.75" x14ac:dyDescent="0.25">
      <c r="A55" s="326" t="str">
        <f>('Set-up'!$B$137)</f>
        <v>Sigefi ETI VI</v>
      </c>
      <c r="B55" s="327"/>
      <c r="C55" s="115">
        <f>('Set-up'!$C$137)</f>
        <v>52</v>
      </c>
      <c r="D55" s="236" t="str">
        <f>('Set-up'!$D$137)</f>
        <v>Gallery C
Ballroom C
Boudoir</v>
      </c>
      <c r="E55" s="236"/>
      <c r="F55" s="119" t="str">
        <f>('Set-up'!$E$137)</f>
        <v>Mathilde de Vergnette</v>
      </c>
      <c r="H55" s="260">
        <f>('Set-up'!B117)</f>
        <v>0</v>
      </c>
      <c r="I55" s="261"/>
      <c r="J55" s="261"/>
      <c r="K55" s="262"/>
      <c r="L55" s="100">
        <f>('Set-up'!C117)</f>
        <v>0</v>
      </c>
      <c r="M55" s="257">
        <f>('Set-up'!D117)</f>
        <v>0</v>
      </c>
      <c r="N55" s="277"/>
      <c r="O55" s="277"/>
      <c r="P55" s="278"/>
    </row>
    <row r="56" spans="1:16" ht="15.75" x14ac:dyDescent="0.25">
      <c r="A56" s="315" t="str">
        <f>('Set-up'!$B$138)</f>
        <v>Singapore Airlines Ltd.</v>
      </c>
      <c r="B56" s="316"/>
      <c r="C56" s="115">
        <f>('Set-up'!$C$138)</f>
        <v>16</v>
      </c>
      <c r="D56" s="319" t="str">
        <f>('Set-up'!$D$138)</f>
        <v>Stephanie</v>
      </c>
      <c r="E56" s="319"/>
      <c r="F56" s="119" t="str">
        <f>('Set-up'!$E$138)</f>
        <v>Jeroen Desaer</v>
      </c>
      <c r="H56" s="260">
        <f>('Set-up'!B118)</f>
        <v>0</v>
      </c>
      <c r="I56" s="261"/>
      <c r="J56" s="261"/>
      <c r="K56" s="262"/>
      <c r="L56" s="99">
        <f>('Set-up'!C118)</f>
        <v>0</v>
      </c>
      <c r="M56" s="257">
        <f>('Set-up'!D118)</f>
        <v>0</v>
      </c>
      <c r="N56" s="277"/>
      <c r="O56" s="277"/>
      <c r="P56" s="278"/>
    </row>
    <row r="57" spans="1:16" ht="16.5" thickBot="1" x14ac:dyDescent="0.3">
      <c r="A57" s="315" t="str">
        <f>('Set-up'!$B$139)</f>
        <v>Syensqo S.A</v>
      </c>
      <c r="B57" s="316"/>
      <c r="C57" s="115">
        <f>('Set-up'!$C$139)</f>
        <v>3</v>
      </c>
      <c r="D57" s="319" t="str">
        <f>('Set-up'!$D$139)</f>
        <v>Antichambre</v>
      </c>
      <c r="E57" s="319"/>
      <c r="F57" s="119" t="str">
        <f>('Set-up'!$E$139)</f>
        <v>Pascale Feickens</v>
      </c>
      <c r="H57" s="286">
        <f>('Set-up'!B119)</f>
        <v>0</v>
      </c>
      <c r="I57" s="287"/>
      <c r="J57" s="287"/>
      <c r="K57" s="288"/>
      <c r="L57" s="99">
        <f>('Set-up'!C119)</f>
        <v>0</v>
      </c>
      <c r="M57" s="297">
        <f>('Set-up'!D119)</f>
        <v>0</v>
      </c>
      <c r="N57" s="324"/>
      <c r="O57" s="324"/>
      <c r="P57" s="325"/>
    </row>
    <row r="58" spans="1:16" ht="15.75" x14ac:dyDescent="0.25">
      <c r="H58" s="284" t="str">
        <f>('Set-up'!B120)</f>
        <v>VIP Departures</v>
      </c>
      <c r="I58" s="285"/>
      <c r="J58" s="285"/>
      <c r="K58" s="285"/>
      <c r="L58" s="123" t="str">
        <f>('Set-up'!C120)</f>
        <v>Room N°</v>
      </c>
      <c r="M58" s="272" t="str">
        <f>('Set-up'!D120)</f>
        <v>VIP Level</v>
      </c>
      <c r="N58" s="272"/>
      <c r="O58" s="272"/>
      <c r="P58" s="273"/>
    </row>
    <row r="59" spans="1:16" ht="15.75" x14ac:dyDescent="0.25">
      <c r="H59" s="268" t="str">
        <f>('Set-up'!B121)</f>
        <v>Desir,Rony</v>
      </c>
      <c r="I59" s="266"/>
      <c r="J59" s="266"/>
      <c r="K59" s="267"/>
      <c r="L59" s="115">
        <f>('Set-up'!C121)</f>
        <v>102</v>
      </c>
      <c r="M59" s="257" t="str">
        <f>('Set-up'!D121)</f>
        <v>Executive Director · Goldman Sachs</v>
      </c>
      <c r="N59" s="258"/>
      <c r="O59" s="258"/>
      <c r="P59" s="259"/>
    </row>
    <row r="60" spans="1:16" ht="15.75" x14ac:dyDescent="0.25">
      <c r="H60" s="279" t="str">
        <f>('Set-up'!B122)</f>
        <v>Goulart,Daiane</v>
      </c>
      <c r="I60" s="280"/>
      <c r="J60" s="280"/>
      <c r="K60" s="280"/>
      <c r="L60" s="99">
        <f>('Set-up'!C122)</f>
        <v>421</v>
      </c>
      <c r="M60" s="281" t="str">
        <f>('Set-up'!D122)</f>
        <v>Guest of the day - booking</v>
      </c>
      <c r="N60" s="282"/>
      <c r="O60" s="282"/>
      <c r="P60" s="283"/>
    </row>
    <row r="61" spans="1:16" ht="15.75" x14ac:dyDescent="0.25">
      <c r="H61" s="268" t="str">
        <f>('Set-up'!B123)</f>
        <v>Nadi,Lamia</v>
      </c>
      <c r="I61" s="266"/>
      <c r="J61" s="266"/>
      <c r="K61" s="267"/>
      <c r="L61" s="115">
        <f>('Set-up'!C123)</f>
        <v>438</v>
      </c>
      <c r="M61" s="257" t="str">
        <f>('Set-up'!D123)</f>
        <v>Guest of the day - booking</v>
      </c>
      <c r="N61" s="258"/>
      <c r="O61" s="258"/>
      <c r="P61" s="259"/>
    </row>
    <row r="62" spans="1:16" ht="15.75" x14ac:dyDescent="0.25">
      <c r="H62" s="279" t="str">
        <f>('Set-up'!B124)</f>
        <v>Bardera Baldrich,Jose Maria,Mr</v>
      </c>
      <c r="I62" s="280"/>
      <c r="J62" s="280"/>
      <c r="K62" s="280"/>
      <c r="L62" s="99">
        <f>('Set-up'!C124)</f>
        <v>554</v>
      </c>
      <c r="M62" s="281" t="str">
        <f>('Set-up'!D124)</f>
        <v>Half board Menu - 3 course dinner</v>
      </c>
      <c r="N62" s="282"/>
      <c r="O62" s="282"/>
      <c r="P62" s="283"/>
    </row>
    <row r="63" spans="1:16" ht="15.75" x14ac:dyDescent="0.25">
      <c r="H63" s="268">
        <f>('Set-up'!B125)</f>
        <v>0</v>
      </c>
      <c r="I63" s="266"/>
      <c r="J63" s="266"/>
      <c r="K63" s="267"/>
      <c r="L63" s="115">
        <f>('Set-up'!C125)</f>
        <v>0</v>
      </c>
      <c r="M63" s="257">
        <f>('Set-up'!D125)</f>
        <v>0</v>
      </c>
      <c r="N63" s="258"/>
      <c r="O63" s="258"/>
      <c r="P63" s="259"/>
    </row>
    <row r="64" spans="1:16" ht="15.75" x14ac:dyDescent="0.25">
      <c r="H64" s="279">
        <f>('Set-up'!B126)</f>
        <v>0</v>
      </c>
      <c r="I64" s="280"/>
      <c r="J64" s="280"/>
      <c r="K64" s="280"/>
      <c r="L64" s="99">
        <f>('Set-up'!C126)</f>
        <v>0</v>
      </c>
      <c r="M64" s="281">
        <f>('Set-up'!D126)</f>
        <v>0</v>
      </c>
      <c r="N64" s="282"/>
      <c r="O64" s="282"/>
      <c r="P64" s="283"/>
    </row>
    <row r="65" spans="8:16" ht="15.75" x14ac:dyDescent="0.25">
      <c r="H65" s="268">
        <f>('Set-up'!B127)</f>
        <v>0</v>
      </c>
      <c r="I65" s="266"/>
      <c r="J65" s="266"/>
      <c r="K65" s="267"/>
      <c r="L65" s="115">
        <f>('Set-up'!C127)</f>
        <v>0</v>
      </c>
      <c r="M65" s="257">
        <f>('Set-up'!D127)</f>
        <v>0</v>
      </c>
      <c r="N65" s="258"/>
      <c r="O65" s="258"/>
      <c r="P65" s="259"/>
    </row>
    <row r="66" spans="8:16" ht="15.75" x14ac:dyDescent="0.25">
      <c r="H66" s="279">
        <f>('Set-up'!B128)</f>
        <v>0</v>
      </c>
      <c r="I66" s="280"/>
      <c r="J66" s="280"/>
      <c r="K66" s="280"/>
      <c r="L66" s="99">
        <f>('Set-up'!C128)</f>
        <v>0</v>
      </c>
      <c r="M66" s="281">
        <f>('Set-up'!D128)</f>
        <v>0</v>
      </c>
      <c r="N66" s="282"/>
      <c r="O66" s="282"/>
      <c r="P66" s="283"/>
    </row>
    <row r="67" spans="8:16" ht="15.75" x14ac:dyDescent="0.25">
      <c r="H67" s="268">
        <f>('Set-up'!B129)</f>
        <v>0</v>
      </c>
      <c r="I67" s="266"/>
      <c r="J67" s="266"/>
      <c r="K67" s="267"/>
      <c r="L67" s="115">
        <f>('Set-up'!C129)</f>
        <v>0</v>
      </c>
      <c r="M67" s="257">
        <f>('Set-up'!D129)</f>
        <v>0</v>
      </c>
      <c r="N67" s="258"/>
      <c r="O67" s="258"/>
      <c r="P67" s="259"/>
    </row>
    <row r="68" spans="8:16" ht="15.75" x14ac:dyDescent="0.25">
      <c r="H68" s="279">
        <f>('Set-up'!B134)</f>
        <v>0</v>
      </c>
      <c r="I68" s="280"/>
      <c r="J68" s="280"/>
      <c r="K68" s="280"/>
      <c r="L68" s="99">
        <f>('Set-up'!C134)</f>
        <v>0</v>
      </c>
      <c r="M68" s="281">
        <f>('Set-up'!D134)</f>
        <v>0</v>
      </c>
      <c r="N68" s="282"/>
      <c r="O68" s="282"/>
      <c r="P68" s="283"/>
    </row>
  </sheetData>
  <protectedRanges>
    <protectedRange sqref="L60:N60 L20:N35 M58:N58 L38:N57 L62:N62 L64:N64 L66:N66 L68:N68" name="Range2_2"/>
  </protectedRanges>
  <mergeCells count="118">
    <mergeCell ref="H67:K67"/>
    <mergeCell ref="M66:P66"/>
    <mergeCell ref="M67:P67"/>
    <mergeCell ref="H68:K68"/>
    <mergeCell ref="M68:P68"/>
    <mergeCell ref="H62:K62"/>
    <mergeCell ref="M62:P62"/>
    <mergeCell ref="H63:K63"/>
    <mergeCell ref="M63:P63"/>
    <mergeCell ref="H64:K64"/>
    <mergeCell ref="M64:P64"/>
    <mergeCell ref="H65:K65"/>
    <mergeCell ref="M65:P65"/>
    <mergeCell ref="H66:K66"/>
    <mergeCell ref="A56:B56"/>
    <mergeCell ref="A57:B57"/>
    <mergeCell ref="D53:E53"/>
    <mergeCell ref="D56:E56"/>
    <mergeCell ref="D57:E57"/>
    <mergeCell ref="A46:A51"/>
    <mergeCell ref="A53:B53"/>
    <mergeCell ref="M57:P57"/>
    <mergeCell ref="H48:K48"/>
    <mergeCell ref="M48:P48"/>
    <mergeCell ref="H49:K49"/>
    <mergeCell ref="M49:P49"/>
    <mergeCell ref="H51:K51"/>
    <mergeCell ref="M51:P51"/>
    <mergeCell ref="H50:K50"/>
    <mergeCell ref="M50:P50"/>
    <mergeCell ref="A55:B55"/>
    <mergeCell ref="D54:E54"/>
    <mergeCell ref="H47:K47"/>
    <mergeCell ref="M47:P47"/>
    <mergeCell ref="A1:P2"/>
    <mergeCell ref="M19:P19"/>
    <mergeCell ref="M20:P20"/>
    <mergeCell ref="M21:P21"/>
    <mergeCell ref="M22:P22"/>
    <mergeCell ref="H24:K24"/>
    <mergeCell ref="H25:K25"/>
    <mergeCell ref="M25:P25"/>
    <mergeCell ref="M26:P26"/>
    <mergeCell ref="H19:K19"/>
    <mergeCell ref="H20:K20"/>
    <mergeCell ref="H21:K21"/>
    <mergeCell ref="H22:K22"/>
    <mergeCell ref="H23:K23"/>
    <mergeCell ref="A20:A23"/>
    <mergeCell ref="A25:A27"/>
    <mergeCell ref="A28:F28"/>
    <mergeCell ref="A24:F24"/>
    <mergeCell ref="H26:K26"/>
    <mergeCell ref="H27:K27"/>
    <mergeCell ref="M23:P23"/>
    <mergeCell ref="M24:P24"/>
    <mergeCell ref="M28:P28"/>
    <mergeCell ref="M36:P36"/>
    <mergeCell ref="M38:P38"/>
    <mergeCell ref="H28:K28"/>
    <mergeCell ref="M31:P31"/>
    <mergeCell ref="M37:P37"/>
    <mergeCell ref="M27:P27"/>
    <mergeCell ref="A29:A33"/>
    <mergeCell ref="A35:A39"/>
    <mergeCell ref="A34:F34"/>
    <mergeCell ref="H35:K35"/>
    <mergeCell ref="M35:P35"/>
    <mergeCell ref="H37:K37"/>
    <mergeCell ref="H33:K33"/>
    <mergeCell ref="M33:P33"/>
    <mergeCell ref="H39:K39"/>
    <mergeCell ref="H38:K38"/>
    <mergeCell ref="M39:P39"/>
    <mergeCell ref="M52:P52"/>
    <mergeCell ref="H57:K57"/>
    <mergeCell ref="H52:K52"/>
    <mergeCell ref="H46:K46"/>
    <mergeCell ref="H55:K55"/>
    <mergeCell ref="H56:K56"/>
    <mergeCell ref="M56:P56"/>
    <mergeCell ref="M44:P44"/>
    <mergeCell ref="M42:P42"/>
    <mergeCell ref="M46:P46"/>
    <mergeCell ref="M53:P53"/>
    <mergeCell ref="M58:P58"/>
    <mergeCell ref="M59:P59"/>
    <mergeCell ref="M61:P61"/>
    <mergeCell ref="H54:K54"/>
    <mergeCell ref="M55:P55"/>
    <mergeCell ref="M54:P54"/>
    <mergeCell ref="H53:K53"/>
    <mergeCell ref="H61:K61"/>
    <mergeCell ref="H60:K60"/>
    <mergeCell ref="M60:P60"/>
    <mergeCell ref="H58:K58"/>
    <mergeCell ref="H59:K59"/>
    <mergeCell ref="H29:K29"/>
    <mergeCell ref="H30:K30"/>
    <mergeCell ref="H31:K31"/>
    <mergeCell ref="H32:K32"/>
    <mergeCell ref="M29:P29"/>
    <mergeCell ref="M30:P30"/>
    <mergeCell ref="H40:K40"/>
    <mergeCell ref="M40:P40"/>
    <mergeCell ref="H42:K42"/>
    <mergeCell ref="A42:A44"/>
    <mergeCell ref="H36:K36"/>
    <mergeCell ref="M32:P32"/>
    <mergeCell ref="H41:K41"/>
    <mergeCell ref="H45:K45"/>
    <mergeCell ref="M41:P41"/>
    <mergeCell ref="M45:P45"/>
    <mergeCell ref="H34:K34"/>
    <mergeCell ref="M34:P34"/>
    <mergeCell ref="H44:K44"/>
    <mergeCell ref="M43:P43"/>
    <mergeCell ref="H43:K43"/>
  </mergeCells>
  <conditionalFormatting sqref="F32:F33">
    <cfRule type="cellIs" dxfId="29" priority="43" operator="lessThan">
      <formula>0</formula>
    </cfRule>
    <cfRule type="cellIs" dxfId="28" priority="44" operator="greaterThan">
      <formula>0</formula>
    </cfRule>
  </conditionalFormatting>
  <conditionalFormatting sqref="F38:F39">
    <cfRule type="cellIs" dxfId="27" priority="41" operator="lessThan">
      <formula>0</formula>
    </cfRule>
    <cfRule type="cellIs" dxfId="26" priority="42" operator="greaterThan">
      <formula>0</formula>
    </cfRule>
  </conditionalFormatting>
  <conditionalFormatting sqref="C25:F27">
    <cfRule type="cellIs" dxfId="25" priority="35" operator="lessThan">
      <formula>0</formula>
    </cfRule>
    <cfRule type="cellIs" dxfId="24" priority="36" operator="greaterThan">
      <formula>0</formula>
    </cfRule>
  </conditionalFormatting>
  <conditionalFormatting sqref="D51:E51">
    <cfRule type="cellIs" dxfId="23" priority="33" operator="lessThan">
      <formula>0</formula>
    </cfRule>
    <cfRule type="cellIs" dxfId="22" priority="34" operator="greaterThan">
      <formula>0</formula>
    </cfRule>
  </conditionalFormatting>
  <conditionalFormatting sqref="D47:E4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D50:E50">
    <cfRule type="cellIs" dxfId="19" priority="29" operator="lessThan">
      <formula>0</formula>
    </cfRule>
    <cfRule type="cellIs" dxfId="18" priority="30" operator="greaterThan">
      <formula>0</formula>
    </cfRule>
  </conditionalFormatting>
  <conditionalFormatting sqref="C32:C33">
    <cfRule type="cellIs" dxfId="17" priority="27" operator="lessThan">
      <formula>0</formula>
    </cfRule>
    <cfRule type="cellIs" dxfId="16" priority="28" operator="greaterThan">
      <formula>0</formula>
    </cfRule>
  </conditionalFormatting>
  <conditionalFormatting sqref="D32:D33">
    <cfRule type="cellIs" dxfId="15" priority="25" operator="lessThan">
      <formula>0</formula>
    </cfRule>
    <cfRule type="cellIs" dxfId="14" priority="26" operator="greaterThan">
      <formula>0</formula>
    </cfRule>
  </conditionalFormatting>
  <conditionalFormatting sqref="E32:E33">
    <cfRule type="cellIs" dxfId="13" priority="23" operator="lessThan">
      <formula>0</formula>
    </cfRule>
    <cfRule type="cellIs" dxfId="12" priority="24" operator="greaterThan">
      <formula>0</formula>
    </cfRule>
  </conditionalFormatting>
  <conditionalFormatting sqref="C38:C39">
    <cfRule type="cellIs" dxfId="11" priority="21" operator="lessThan">
      <formula>0</formula>
    </cfRule>
    <cfRule type="cellIs" dxfId="10" priority="22" operator="greaterThan">
      <formula>0</formula>
    </cfRule>
  </conditionalFormatting>
  <conditionalFormatting sqref="D38:D39">
    <cfRule type="cellIs" dxfId="9" priority="19" operator="lessThan">
      <formula>0</formula>
    </cfRule>
    <cfRule type="cellIs" dxfId="8" priority="20" operator="greaterThan">
      <formula>0</formula>
    </cfRule>
  </conditionalFormatting>
  <conditionalFormatting sqref="E38:E39">
    <cfRule type="cellIs" dxfId="7" priority="17" operator="lessThan">
      <formula>0</formula>
    </cfRule>
    <cfRule type="cellIs" dxfId="6" priority="18" operator="greaterThan">
      <formula>0</formula>
    </cfRule>
  </conditionalFormatting>
  <conditionalFormatting sqref="C50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C47:C48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51">
    <cfRule type="cellIs" dxfId="1" priority="1" operator="lessThan">
      <formula>0</formula>
    </cfRule>
    <cfRule type="cellIs" dxfId="0" priority="2" operator="greaterThan">
      <formula>0</formula>
    </cfRule>
  </conditionalFormatting>
  <printOptions horizontalCentered="1" verticalCentered="1"/>
  <pageMargins left="0.19685039370078741" right="0.19685039370078741" top="0.39370078740157483" bottom="0.39370078740157483" header="0.31496062992125984" footer="0.31496062992125984"/>
  <pageSetup paperSize="9" scale="5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3"/>
  <dimension ref="A1:BX30"/>
  <sheetViews>
    <sheetView workbookViewId="0">
      <selection activeCell="E25" sqref="E25"/>
    </sheetView>
  </sheetViews>
  <sheetFormatPr defaultRowHeight="15" x14ac:dyDescent="0.25"/>
  <cols>
    <col min="4" max="4" width="10.85546875" customWidth="1"/>
    <col min="5" max="5" width="12.5703125" customWidth="1"/>
    <col min="6" max="6" width="12.28515625" customWidth="1"/>
    <col min="11" max="11" width="10.5703125" customWidth="1"/>
    <col min="12" max="12" width="12.85546875" customWidth="1"/>
    <col min="18" max="18" width="13.7109375" customWidth="1"/>
    <col min="19" max="19" width="11.5703125" customWidth="1"/>
    <col min="20" max="20" width="9.140625" customWidth="1"/>
    <col min="25" max="25" width="11" customWidth="1"/>
    <col min="39" max="39" width="12.5703125" customWidth="1"/>
    <col min="41" max="41" width="13.5703125" customWidth="1"/>
  </cols>
  <sheetData>
    <row r="1" spans="1:76" x14ac:dyDescent="0.25">
      <c r="A1" t="s">
        <v>92</v>
      </c>
      <c r="B1" t="s">
        <v>93</v>
      </c>
      <c r="C1" t="s">
        <v>94</v>
      </c>
      <c r="D1" t="s">
        <v>95</v>
      </c>
      <c r="E1" t="s">
        <v>96</v>
      </c>
      <c r="F1" t="s">
        <v>97</v>
      </c>
      <c r="G1" t="s">
        <v>98</v>
      </c>
      <c r="H1" t="s">
        <v>99</v>
      </c>
      <c r="I1" t="s">
        <v>100</v>
      </c>
      <c r="J1" t="s">
        <v>101</v>
      </c>
      <c r="K1" t="s">
        <v>102</v>
      </c>
      <c r="L1" t="s">
        <v>103</v>
      </c>
      <c r="M1" t="s">
        <v>104</v>
      </c>
      <c r="N1" t="s">
        <v>105</v>
      </c>
      <c r="O1" t="s">
        <v>106</v>
      </c>
      <c r="P1" t="s">
        <v>107</v>
      </c>
      <c r="Q1" t="s">
        <v>108</v>
      </c>
      <c r="R1" t="s">
        <v>109</v>
      </c>
      <c r="S1" t="s">
        <v>110</v>
      </c>
      <c r="T1" t="s">
        <v>111</v>
      </c>
      <c r="U1" t="s">
        <v>112</v>
      </c>
      <c r="V1" t="s">
        <v>113</v>
      </c>
      <c r="W1" t="s">
        <v>114</v>
      </c>
      <c r="X1" t="s">
        <v>115</v>
      </c>
      <c r="Y1" t="s">
        <v>116</v>
      </c>
      <c r="Z1" t="s">
        <v>117</v>
      </c>
      <c r="AA1" t="s">
        <v>118</v>
      </c>
      <c r="AB1" t="s">
        <v>119</v>
      </c>
      <c r="AC1" t="s">
        <v>120</v>
      </c>
      <c r="AD1" t="s">
        <v>121</v>
      </c>
      <c r="AE1" t="s">
        <v>122</v>
      </c>
      <c r="AF1" t="s">
        <v>123</v>
      </c>
      <c r="AG1" t="s">
        <v>124</v>
      </c>
      <c r="AH1" t="s">
        <v>125</v>
      </c>
      <c r="AI1" t="s">
        <v>126</v>
      </c>
      <c r="AJ1" t="s">
        <v>127</v>
      </c>
      <c r="AK1" t="s">
        <v>128</v>
      </c>
      <c r="AL1" t="s">
        <v>129</v>
      </c>
      <c r="AM1" t="s">
        <v>130</v>
      </c>
      <c r="AN1" t="s">
        <v>131</v>
      </c>
      <c r="AO1" t="s">
        <v>132</v>
      </c>
      <c r="AP1" t="s">
        <v>133</v>
      </c>
      <c r="AQ1" t="s">
        <v>134</v>
      </c>
      <c r="AR1" t="s">
        <v>135</v>
      </c>
      <c r="AS1" t="s">
        <v>136</v>
      </c>
      <c r="AT1" t="s">
        <v>137</v>
      </c>
      <c r="AU1" t="s">
        <v>138</v>
      </c>
      <c r="AV1" t="s">
        <v>139</v>
      </c>
      <c r="AW1" t="s">
        <v>140</v>
      </c>
      <c r="AX1" t="s">
        <v>141</v>
      </c>
      <c r="AY1" t="s">
        <v>142</v>
      </c>
      <c r="AZ1" t="s">
        <v>143</v>
      </c>
      <c r="BA1" t="s">
        <v>144</v>
      </c>
      <c r="BB1" t="s">
        <v>145</v>
      </c>
      <c r="BC1" t="s">
        <v>146</v>
      </c>
      <c r="BD1" t="s">
        <v>150</v>
      </c>
      <c r="BE1" t="s">
        <v>151</v>
      </c>
      <c r="BF1" t="s">
        <v>152</v>
      </c>
      <c r="BG1" t="s">
        <v>153</v>
      </c>
      <c r="BH1" t="s">
        <v>154</v>
      </c>
      <c r="BI1" t="s">
        <v>155</v>
      </c>
      <c r="BJ1" t="s">
        <v>156</v>
      </c>
      <c r="BK1" t="s">
        <v>157</v>
      </c>
      <c r="BL1" t="s">
        <v>158</v>
      </c>
      <c r="BM1" t="s">
        <v>159</v>
      </c>
      <c r="BN1" t="s">
        <v>160</v>
      </c>
      <c r="BO1" t="s">
        <v>161</v>
      </c>
      <c r="BP1" t="s">
        <v>162</v>
      </c>
      <c r="BQ1" t="s">
        <v>163</v>
      </c>
      <c r="BR1" t="s">
        <v>164</v>
      </c>
      <c r="BS1" t="s">
        <v>165</v>
      </c>
      <c r="BT1" t="s">
        <v>166</v>
      </c>
      <c r="BU1" t="s">
        <v>167</v>
      </c>
      <c r="BV1" t="s">
        <v>168</v>
      </c>
      <c r="BW1" t="s">
        <v>169</v>
      </c>
      <c r="BX1" t="s">
        <v>170</v>
      </c>
    </row>
    <row r="2" spans="1:76" x14ac:dyDescent="0.25">
      <c r="B2" t="s">
        <v>172</v>
      </c>
      <c r="C2" t="s">
        <v>26</v>
      </c>
      <c r="D2">
        <v>1600</v>
      </c>
      <c r="E2">
        <v>1600</v>
      </c>
      <c r="F2">
        <v>3410</v>
      </c>
      <c r="G2">
        <v>699</v>
      </c>
      <c r="H2">
        <v>5</v>
      </c>
      <c r="I2">
        <v>0</v>
      </c>
      <c r="J2">
        <v>2</v>
      </c>
      <c r="L2">
        <v>1019</v>
      </c>
      <c r="M2">
        <v>0</v>
      </c>
      <c r="N2">
        <v>581</v>
      </c>
      <c r="O2">
        <v>0</v>
      </c>
      <c r="P2">
        <v>715</v>
      </c>
      <c r="Q2">
        <v>61</v>
      </c>
      <c r="R2">
        <v>2162</v>
      </c>
      <c r="S2">
        <v>3471</v>
      </c>
      <c r="T2">
        <v>311743.10377358401</v>
      </c>
      <c r="U2">
        <v>0</v>
      </c>
      <c r="V2">
        <v>0</v>
      </c>
      <c r="W2">
        <v>194.83943985849001</v>
      </c>
      <c r="X2">
        <v>46.920821114369502</v>
      </c>
      <c r="Y2">
        <v>20063.3207547169</v>
      </c>
      <c r="Z2">
        <v>90</v>
      </c>
      <c r="AA2">
        <v>68</v>
      </c>
      <c r="AB2">
        <v>0</v>
      </c>
      <c r="AC2">
        <v>22</v>
      </c>
      <c r="AD2">
        <v>0</v>
      </c>
      <c r="AE2">
        <v>120</v>
      </c>
      <c r="AF2">
        <v>54</v>
      </c>
      <c r="AG2">
        <v>73</v>
      </c>
      <c r="AH2">
        <v>1</v>
      </c>
      <c r="AI2">
        <v>0</v>
      </c>
      <c r="AJ2">
        <v>1</v>
      </c>
      <c r="AL2">
        <v>267</v>
      </c>
      <c r="AM2" s="233">
        <v>45680</v>
      </c>
      <c r="AN2" t="s">
        <v>196</v>
      </c>
      <c r="AO2">
        <v>17101.433962264098</v>
      </c>
      <c r="AP2">
        <v>0</v>
      </c>
      <c r="AQ2">
        <v>0</v>
      </c>
      <c r="AR2">
        <v>2961.8867924528299</v>
      </c>
      <c r="AS2">
        <v>0</v>
      </c>
      <c r="AT2">
        <v>0</v>
      </c>
      <c r="AU2">
        <v>5</v>
      </c>
      <c r="AV2">
        <v>90</v>
      </c>
      <c r="AW2">
        <v>262</v>
      </c>
      <c r="AX2">
        <v>222.925786163521</v>
      </c>
      <c r="AY2">
        <v>34.3511450381679</v>
      </c>
      <c r="AZ2">
        <v>17101.433962264098</v>
      </c>
      <c r="BB2">
        <v>2961.8867924528299</v>
      </c>
    </row>
    <row r="3" spans="1:76" x14ac:dyDescent="0.25">
      <c r="B3" t="s">
        <v>172</v>
      </c>
      <c r="C3" t="s">
        <v>26</v>
      </c>
      <c r="D3">
        <v>1600</v>
      </c>
      <c r="E3">
        <v>1600</v>
      </c>
      <c r="F3">
        <v>3410</v>
      </c>
      <c r="G3">
        <v>699</v>
      </c>
      <c r="H3">
        <v>5</v>
      </c>
      <c r="I3">
        <v>0</v>
      </c>
      <c r="J3">
        <v>2</v>
      </c>
      <c r="L3">
        <v>1019</v>
      </c>
      <c r="M3">
        <v>0</v>
      </c>
      <c r="N3">
        <v>581</v>
      </c>
      <c r="O3">
        <v>0</v>
      </c>
      <c r="P3">
        <v>715</v>
      </c>
      <c r="Q3">
        <v>61</v>
      </c>
      <c r="R3">
        <v>2162</v>
      </c>
      <c r="S3">
        <v>3471</v>
      </c>
      <c r="T3">
        <v>311743.10377358401</v>
      </c>
      <c r="U3">
        <v>0</v>
      </c>
      <c r="V3">
        <v>0</v>
      </c>
      <c r="W3">
        <v>194.83943985849001</v>
      </c>
      <c r="X3">
        <v>46.920821114369502</v>
      </c>
      <c r="Y3">
        <v>22252.462264150901</v>
      </c>
      <c r="Z3">
        <v>100</v>
      </c>
      <c r="AA3">
        <v>81</v>
      </c>
      <c r="AB3">
        <v>0</v>
      </c>
      <c r="AC3">
        <v>19</v>
      </c>
      <c r="AD3">
        <v>0</v>
      </c>
      <c r="AE3">
        <v>160</v>
      </c>
      <c r="AF3">
        <v>54</v>
      </c>
      <c r="AG3">
        <v>42</v>
      </c>
      <c r="AH3">
        <v>1</v>
      </c>
      <c r="AI3">
        <v>0</v>
      </c>
      <c r="AJ3">
        <v>1</v>
      </c>
      <c r="AL3">
        <v>267</v>
      </c>
      <c r="AM3" s="233">
        <v>45681</v>
      </c>
      <c r="AN3" t="s">
        <v>197</v>
      </c>
      <c r="AO3">
        <v>19592.462264150901</v>
      </c>
      <c r="AP3">
        <v>0</v>
      </c>
      <c r="AQ3">
        <v>0</v>
      </c>
      <c r="AR3">
        <v>2660</v>
      </c>
      <c r="AS3">
        <v>0</v>
      </c>
      <c r="AT3">
        <v>0</v>
      </c>
      <c r="AU3">
        <v>5</v>
      </c>
      <c r="AV3">
        <v>100</v>
      </c>
      <c r="AW3">
        <v>262</v>
      </c>
      <c r="AX3">
        <v>222.52462264150901</v>
      </c>
      <c r="AY3">
        <v>38.167938931297698</v>
      </c>
      <c r="AZ3">
        <v>19592.462264150901</v>
      </c>
      <c r="BB3">
        <v>2660</v>
      </c>
    </row>
    <row r="4" spans="1:76" x14ac:dyDescent="0.25">
      <c r="B4" t="s">
        <v>172</v>
      </c>
      <c r="C4" t="s">
        <v>26</v>
      </c>
      <c r="D4">
        <v>1600</v>
      </c>
      <c r="E4">
        <v>1600</v>
      </c>
      <c r="F4">
        <v>3410</v>
      </c>
      <c r="G4">
        <v>699</v>
      </c>
      <c r="H4">
        <v>5</v>
      </c>
      <c r="I4">
        <v>0</v>
      </c>
      <c r="J4">
        <v>2</v>
      </c>
      <c r="L4">
        <v>1019</v>
      </c>
      <c r="M4">
        <v>0</v>
      </c>
      <c r="N4">
        <v>581</v>
      </c>
      <c r="O4">
        <v>0</v>
      </c>
      <c r="P4">
        <v>715</v>
      </c>
      <c r="Q4">
        <v>61</v>
      </c>
      <c r="R4">
        <v>2162</v>
      </c>
      <c r="S4">
        <v>3471</v>
      </c>
      <c r="T4">
        <v>311743.10377358401</v>
      </c>
      <c r="U4">
        <v>0</v>
      </c>
      <c r="V4">
        <v>0</v>
      </c>
      <c r="W4">
        <v>194.83943985849001</v>
      </c>
      <c r="X4">
        <v>46.920821114369502</v>
      </c>
      <c r="Y4">
        <v>20405.905660377299</v>
      </c>
      <c r="Z4">
        <v>99</v>
      </c>
      <c r="AA4">
        <v>80</v>
      </c>
      <c r="AB4">
        <v>0</v>
      </c>
      <c r="AC4">
        <v>19</v>
      </c>
      <c r="AD4">
        <v>0</v>
      </c>
      <c r="AE4">
        <v>169</v>
      </c>
      <c r="AF4">
        <v>37</v>
      </c>
      <c r="AG4">
        <v>57</v>
      </c>
      <c r="AH4">
        <v>1</v>
      </c>
      <c r="AI4">
        <v>0</v>
      </c>
      <c r="AJ4">
        <v>0</v>
      </c>
      <c r="AL4">
        <v>267</v>
      </c>
      <c r="AM4" s="233">
        <v>45682</v>
      </c>
      <c r="AN4" t="s">
        <v>198</v>
      </c>
      <c r="AO4">
        <v>17745.905660377299</v>
      </c>
      <c r="AP4">
        <v>0</v>
      </c>
      <c r="AQ4">
        <v>0</v>
      </c>
      <c r="AR4">
        <v>2660</v>
      </c>
      <c r="AS4">
        <v>0</v>
      </c>
      <c r="AT4">
        <v>0</v>
      </c>
      <c r="AU4">
        <v>5</v>
      </c>
      <c r="AV4">
        <v>99</v>
      </c>
      <c r="AW4">
        <v>262</v>
      </c>
      <c r="AX4">
        <v>206.12025919573</v>
      </c>
      <c r="AY4">
        <v>37.786259541984698</v>
      </c>
      <c r="AZ4">
        <v>17745.905660377299</v>
      </c>
      <c r="BB4">
        <v>2660</v>
      </c>
    </row>
    <row r="5" spans="1:76" x14ac:dyDescent="0.25">
      <c r="B5" t="s">
        <v>172</v>
      </c>
      <c r="C5" t="s">
        <v>26</v>
      </c>
      <c r="D5">
        <v>1600</v>
      </c>
      <c r="E5">
        <v>1600</v>
      </c>
      <c r="F5">
        <v>3410</v>
      </c>
      <c r="G5">
        <v>699</v>
      </c>
      <c r="H5">
        <v>5</v>
      </c>
      <c r="I5">
        <v>0</v>
      </c>
      <c r="J5">
        <v>2</v>
      </c>
      <c r="L5">
        <v>1019</v>
      </c>
      <c r="M5">
        <v>0</v>
      </c>
      <c r="N5">
        <v>581</v>
      </c>
      <c r="O5">
        <v>0</v>
      </c>
      <c r="P5">
        <v>715</v>
      </c>
      <c r="Q5">
        <v>61</v>
      </c>
      <c r="R5">
        <v>2162</v>
      </c>
      <c r="S5">
        <v>3471</v>
      </c>
      <c r="T5">
        <v>311743.10377358401</v>
      </c>
      <c r="U5">
        <v>0</v>
      </c>
      <c r="V5">
        <v>0</v>
      </c>
      <c r="W5">
        <v>194.83943985849001</v>
      </c>
      <c r="X5">
        <v>46.920821114369502</v>
      </c>
      <c r="Y5">
        <v>16610.999999999902</v>
      </c>
      <c r="Z5">
        <v>93</v>
      </c>
      <c r="AA5">
        <v>38</v>
      </c>
      <c r="AB5">
        <v>0</v>
      </c>
      <c r="AC5">
        <v>55</v>
      </c>
      <c r="AD5">
        <v>0</v>
      </c>
      <c r="AE5">
        <v>144</v>
      </c>
      <c r="AF5">
        <v>56</v>
      </c>
      <c r="AG5">
        <v>62</v>
      </c>
      <c r="AH5">
        <v>1</v>
      </c>
      <c r="AI5">
        <v>0</v>
      </c>
      <c r="AJ5">
        <v>0</v>
      </c>
      <c r="AL5">
        <v>267</v>
      </c>
      <c r="AM5" s="233">
        <v>45683</v>
      </c>
      <c r="AN5" t="s">
        <v>199</v>
      </c>
      <c r="AO5">
        <v>7996.28301886792</v>
      </c>
      <c r="AP5">
        <v>0</v>
      </c>
      <c r="AQ5">
        <v>0</v>
      </c>
      <c r="AR5">
        <v>8614.7169811320691</v>
      </c>
      <c r="AS5">
        <v>0</v>
      </c>
      <c r="AT5">
        <v>0</v>
      </c>
      <c r="AU5">
        <v>5</v>
      </c>
      <c r="AV5">
        <v>93</v>
      </c>
      <c r="AW5">
        <v>262</v>
      </c>
      <c r="AX5">
        <v>178.61290322580601</v>
      </c>
      <c r="AY5">
        <v>35.496183206106799</v>
      </c>
      <c r="AZ5">
        <v>7996.28301886792</v>
      </c>
      <c r="BB5">
        <v>8614.7169811320691</v>
      </c>
    </row>
    <row r="6" spans="1:76" x14ac:dyDescent="0.25">
      <c r="B6" t="s">
        <v>172</v>
      </c>
      <c r="C6" t="s">
        <v>26</v>
      </c>
      <c r="D6">
        <v>1600</v>
      </c>
      <c r="E6">
        <v>1600</v>
      </c>
      <c r="F6">
        <v>3410</v>
      </c>
      <c r="G6">
        <v>699</v>
      </c>
      <c r="H6">
        <v>5</v>
      </c>
      <c r="I6">
        <v>0</v>
      </c>
      <c r="J6">
        <v>2</v>
      </c>
      <c r="L6">
        <v>1019</v>
      </c>
      <c r="M6">
        <v>0</v>
      </c>
      <c r="N6">
        <v>581</v>
      </c>
      <c r="O6">
        <v>0</v>
      </c>
      <c r="P6">
        <v>715</v>
      </c>
      <c r="Q6">
        <v>61</v>
      </c>
      <c r="R6">
        <v>2162</v>
      </c>
      <c r="S6">
        <v>3471</v>
      </c>
      <c r="T6">
        <v>311743.10377358401</v>
      </c>
      <c r="U6">
        <v>0</v>
      </c>
      <c r="V6">
        <v>0</v>
      </c>
      <c r="W6">
        <v>194.83943985849001</v>
      </c>
      <c r="X6">
        <v>46.920821114369502</v>
      </c>
      <c r="Y6">
        <v>25017.2830188679</v>
      </c>
      <c r="Z6">
        <v>133</v>
      </c>
      <c r="AA6">
        <v>83</v>
      </c>
      <c r="AB6">
        <v>0</v>
      </c>
      <c r="AC6">
        <v>50</v>
      </c>
      <c r="AD6">
        <v>0</v>
      </c>
      <c r="AE6">
        <v>155</v>
      </c>
      <c r="AF6">
        <v>69</v>
      </c>
      <c r="AG6">
        <v>45</v>
      </c>
      <c r="AH6">
        <v>0</v>
      </c>
      <c r="AI6">
        <v>0</v>
      </c>
      <c r="AJ6">
        <v>0</v>
      </c>
      <c r="AL6">
        <v>267</v>
      </c>
      <c r="AM6" s="233">
        <v>45684</v>
      </c>
      <c r="AN6" t="s">
        <v>200</v>
      </c>
      <c r="AO6">
        <v>16805.962264150901</v>
      </c>
      <c r="AP6">
        <v>0</v>
      </c>
      <c r="AQ6">
        <v>0</v>
      </c>
      <c r="AR6">
        <v>8211.3207547169804</v>
      </c>
      <c r="AS6">
        <v>0</v>
      </c>
      <c r="AT6">
        <v>0</v>
      </c>
      <c r="AU6">
        <v>5</v>
      </c>
      <c r="AV6">
        <v>133</v>
      </c>
      <c r="AW6">
        <v>262</v>
      </c>
      <c r="AX6">
        <v>188.09987232231501</v>
      </c>
      <c r="AY6">
        <v>50.7633587786259</v>
      </c>
      <c r="AZ6">
        <v>16805.962264150901</v>
      </c>
      <c r="BB6">
        <v>8211.3207547169804</v>
      </c>
    </row>
    <row r="7" spans="1:76" x14ac:dyDescent="0.25">
      <c r="B7" t="s">
        <v>172</v>
      </c>
      <c r="C7" t="s">
        <v>26</v>
      </c>
      <c r="D7">
        <v>1600</v>
      </c>
      <c r="E7">
        <v>1600</v>
      </c>
      <c r="F7">
        <v>3410</v>
      </c>
      <c r="G7">
        <v>699</v>
      </c>
      <c r="H7">
        <v>5</v>
      </c>
      <c r="I7">
        <v>0</v>
      </c>
      <c r="J7">
        <v>2</v>
      </c>
      <c r="L7">
        <v>1019</v>
      </c>
      <c r="M7">
        <v>0</v>
      </c>
      <c r="N7">
        <v>581</v>
      </c>
      <c r="O7">
        <v>0</v>
      </c>
      <c r="P7">
        <v>715</v>
      </c>
      <c r="Q7">
        <v>61</v>
      </c>
      <c r="R7">
        <v>2162</v>
      </c>
      <c r="S7">
        <v>3471</v>
      </c>
      <c r="T7">
        <v>311743.10377358401</v>
      </c>
      <c r="U7">
        <v>0</v>
      </c>
      <c r="V7">
        <v>0</v>
      </c>
      <c r="W7">
        <v>194.83943985849001</v>
      </c>
      <c r="X7">
        <v>46.920821114369502</v>
      </c>
      <c r="Y7">
        <v>29909.716981131998</v>
      </c>
      <c r="Z7">
        <v>149</v>
      </c>
      <c r="AA7">
        <v>111</v>
      </c>
      <c r="AB7">
        <v>0</v>
      </c>
      <c r="AC7">
        <v>38</v>
      </c>
      <c r="AD7">
        <v>0</v>
      </c>
      <c r="AE7">
        <v>181</v>
      </c>
      <c r="AF7">
        <v>65</v>
      </c>
      <c r="AG7">
        <v>39</v>
      </c>
      <c r="AH7">
        <v>0</v>
      </c>
      <c r="AI7">
        <v>0</v>
      </c>
      <c r="AJ7">
        <v>0</v>
      </c>
      <c r="AL7">
        <v>267</v>
      </c>
      <c r="AM7" s="233">
        <v>45685</v>
      </c>
      <c r="AN7" t="s">
        <v>201</v>
      </c>
      <c r="AO7">
        <v>22973.3018867924</v>
      </c>
      <c r="AP7">
        <v>0</v>
      </c>
      <c r="AQ7">
        <v>0</v>
      </c>
      <c r="AR7">
        <v>6936.4150943396198</v>
      </c>
      <c r="AS7">
        <v>0</v>
      </c>
      <c r="AT7">
        <v>0</v>
      </c>
      <c r="AU7">
        <v>5</v>
      </c>
      <c r="AV7">
        <v>149</v>
      </c>
      <c r="AW7">
        <v>262</v>
      </c>
      <c r="AX7">
        <v>200.73635557806699</v>
      </c>
      <c r="AY7">
        <v>56.870229007633498</v>
      </c>
      <c r="AZ7">
        <v>22973.3018867924</v>
      </c>
      <c r="BB7">
        <v>6936.4150943396198</v>
      </c>
    </row>
    <row r="8" spans="1:76" x14ac:dyDescent="0.25">
      <c r="B8" t="s">
        <v>172</v>
      </c>
      <c r="C8" t="s">
        <v>26</v>
      </c>
      <c r="D8">
        <v>1600</v>
      </c>
      <c r="E8">
        <v>1600</v>
      </c>
      <c r="F8">
        <v>3410</v>
      </c>
      <c r="G8">
        <v>699</v>
      </c>
      <c r="H8">
        <v>5</v>
      </c>
      <c r="I8">
        <v>0</v>
      </c>
      <c r="J8">
        <v>2</v>
      </c>
      <c r="L8">
        <v>1019</v>
      </c>
      <c r="M8">
        <v>0</v>
      </c>
      <c r="N8">
        <v>581</v>
      </c>
      <c r="O8">
        <v>0</v>
      </c>
      <c r="P8">
        <v>715</v>
      </c>
      <c r="Q8">
        <v>61</v>
      </c>
      <c r="R8">
        <v>2162</v>
      </c>
      <c r="S8">
        <v>3471</v>
      </c>
      <c r="T8">
        <v>311743.10377358401</v>
      </c>
      <c r="U8">
        <v>0</v>
      </c>
      <c r="V8">
        <v>0</v>
      </c>
      <c r="W8">
        <v>194.83943985849001</v>
      </c>
      <c r="X8">
        <v>46.920821114369502</v>
      </c>
      <c r="Y8">
        <v>37245.150943396198</v>
      </c>
      <c r="Z8">
        <v>199</v>
      </c>
      <c r="AA8">
        <v>101</v>
      </c>
      <c r="AB8">
        <v>0</v>
      </c>
      <c r="AC8">
        <v>98</v>
      </c>
      <c r="AD8">
        <v>0</v>
      </c>
      <c r="AE8">
        <v>246</v>
      </c>
      <c r="AF8">
        <v>117</v>
      </c>
      <c r="AG8">
        <v>60</v>
      </c>
      <c r="AH8">
        <v>0</v>
      </c>
      <c r="AI8">
        <v>0</v>
      </c>
      <c r="AJ8">
        <v>0</v>
      </c>
      <c r="AL8">
        <v>267</v>
      </c>
      <c r="AM8" s="233">
        <v>45686</v>
      </c>
      <c r="AN8" t="s">
        <v>202</v>
      </c>
      <c r="AO8">
        <v>20089.867924528298</v>
      </c>
      <c r="AP8">
        <v>0</v>
      </c>
      <c r="AQ8">
        <v>0</v>
      </c>
      <c r="AR8">
        <v>17155.2830188679</v>
      </c>
      <c r="AS8">
        <v>0</v>
      </c>
      <c r="AT8">
        <v>0</v>
      </c>
      <c r="AU8">
        <v>5</v>
      </c>
      <c r="AV8">
        <v>199</v>
      </c>
      <c r="AW8">
        <v>262</v>
      </c>
      <c r="AX8">
        <v>187.16156252962901</v>
      </c>
      <c r="AY8">
        <v>75.954198473282403</v>
      </c>
      <c r="AZ8">
        <v>20089.867924528298</v>
      </c>
      <c r="BB8">
        <v>17155.2830188679</v>
      </c>
    </row>
    <row r="9" spans="1:76" x14ac:dyDescent="0.25">
      <c r="B9" t="s">
        <v>172</v>
      </c>
      <c r="C9" t="s">
        <v>26</v>
      </c>
      <c r="D9">
        <v>1600</v>
      </c>
      <c r="E9">
        <v>1600</v>
      </c>
      <c r="F9">
        <v>3410</v>
      </c>
      <c r="G9">
        <v>699</v>
      </c>
      <c r="H9">
        <v>5</v>
      </c>
      <c r="I9">
        <v>0</v>
      </c>
      <c r="J9">
        <v>2</v>
      </c>
      <c r="L9">
        <v>1019</v>
      </c>
      <c r="M9">
        <v>0</v>
      </c>
      <c r="N9">
        <v>581</v>
      </c>
      <c r="O9">
        <v>0</v>
      </c>
      <c r="P9">
        <v>715</v>
      </c>
      <c r="Q9">
        <v>61</v>
      </c>
      <c r="R9">
        <v>2162</v>
      </c>
      <c r="S9">
        <v>3471</v>
      </c>
      <c r="T9">
        <v>311743.10377358401</v>
      </c>
      <c r="U9">
        <v>0</v>
      </c>
      <c r="V9">
        <v>0</v>
      </c>
      <c r="W9">
        <v>194.83943985849001</v>
      </c>
      <c r="X9">
        <v>46.920821114369502</v>
      </c>
      <c r="Y9">
        <v>30506.537735849</v>
      </c>
      <c r="Z9">
        <v>150</v>
      </c>
      <c r="AA9">
        <v>75</v>
      </c>
      <c r="AB9">
        <v>0</v>
      </c>
      <c r="AC9">
        <v>75</v>
      </c>
      <c r="AD9">
        <v>0</v>
      </c>
      <c r="AE9">
        <v>195</v>
      </c>
      <c r="AF9">
        <v>32</v>
      </c>
      <c r="AG9">
        <v>82</v>
      </c>
      <c r="AH9">
        <v>0</v>
      </c>
      <c r="AI9">
        <v>0</v>
      </c>
      <c r="AJ9">
        <v>0</v>
      </c>
      <c r="AL9">
        <v>267</v>
      </c>
      <c r="AM9" s="233">
        <v>45687</v>
      </c>
      <c r="AN9" t="s">
        <v>203</v>
      </c>
      <c r="AO9">
        <v>15714.4622641509</v>
      </c>
      <c r="AP9">
        <v>0</v>
      </c>
      <c r="AQ9">
        <v>0</v>
      </c>
      <c r="AR9">
        <v>14792.075471698099</v>
      </c>
      <c r="AS9">
        <v>0</v>
      </c>
      <c r="AT9">
        <v>0</v>
      </c>
      <c r="AU9">
        <v>5</v>
      </c>
      <c r="AV9">
        <v>150</v>
      </c>
      <c r="AW9">
        <v>262</v>
      </c>
      <c r="AX9">
        <v>203.376918238993</v>
      </c>
      <c r="AY9">
        <v>57.251908396946497</v>
      </c>
      <c r="AZ9">
        <v>15714.4622641509</v>
      </c>
      <c r="BB9">
        <v>14792.075471698099</v>
      </c>
    </row>
    <row r="10" spans="1:76" x14ac:dyDescent="0.25">
      <c r="B10" t="s">
        <v>172</v>
      </c>
      <c r="C10" t="s">
        <v>26</v>
      </c>
      <c r="D10">
        <v>1600</v>
      </c>
      <c r="E10">
        <v>1600</v>
      </c>
      <c r="F10">
        <v>3410</v>
      </c>
      <c r="G10">
        <v>699</v>
      </c>
      <c r="H10">
        <v>5</v>
      </c>
      <c r="I10">
        <v>0</v>
      </c>
      <c r="J10">
        <v>2</v>
      </c>
      <c r="L10">
        <v>1019</v>
      </c>
      <c r="M10">
        <v>0</v>
      </c>
      <c r="N10">
        <v>581</v>
      </c>
      <c r="O10">
        <v>0</v>
      </c>
      <c r="P10">
        <v>715</v>
      </c>
      <c r="Q10">
        <v>61</v>
      </c>
      <c r="R10">
        <v>2162</v>
      </c>
      <c r="S10">
        <v>3471</v>
      </c>
      <c r="T10">
        <v>311743.10377358401</v>
      </c>
      <c r="U10">
        <v>0</v>
      </c>
      <c r="V10">
        <v>0</v>
      </c>
      <c r="W10">
        <v>194.83943985849001</v>
      </c>
      <c r="X10">
        <v>46.920821114369502</v>
      </c>
      <c r="Y10">
        <v>24694.377358490499</v>
      </c>
      <c r="Z10">
        <v>134</v>
      </c>
      <c r="AA10">
        <v>82</v>
      </c>
      <c r="AB10">
        <v>0</v>
      </c>
      <c r="AC10">
        <v>52</v>
      </c>
      <c r="AD10">
        <v>0</v>
      </c>
      <c r="AE10">
        <v>213</v>
      </c>
      <c r="AF10">
        <v>84</v>
      </c>
      <c r="AG10">
        <v>100</v>
      </c>
      <c r="AH10">
        <v>0</v>
      </c>
      <c r="AI10">
        <v>0</v>
      </c>
      <c r="AJ10">
        <v>0</v>
      </c>
      <c r="AL10">
        <v>267</v>
      </c>
      <c r="AM10" s="233">
        <v>45688</v>
      </c>
      <c r="AN10" t="s">
        <v>204</v>
      </c>
      <c r="AO10">
        <v>15916.4528301886</v>
      </c>
      <c r="AP10">
        <v>0</v>
      </c>
      <c r="AQ10">
        <v>0</v>
      </c>
      <c r="AR10">
        <v>8777.9245283018899</v>
      </c>
      <c r="AS10">
        <v>0</v>
      </c>
      <c r="AT10">
        <v>0</v>
      </c>
      <c r="AU10">
        <v>5</v>
      </c>
      <c r="AV10">
        <v>134</v>
      </c>
      <c r="AW10">
        <v>262</v>
      </c>
      <c r="AX10">
        <v>184.28639819769</v>
      </c>
      <c r="AY10">
        <v>51.1450381679389</v>
      </c>
      <c r="AZ10">
        <v>15916.4528301886</v>
      </c>
      <c r="BB10">
        <v>8777.9245283018899</v>
      </c>
    </row>
    <row r="11" spans="1:76" x14ac:dyDescent="0.25">
      <c r="B11" t="s">
        <v>172</v>
      </c>
      <c r="C11" t="s">
        <v>26</v>
      </c>
      <c r="D11">
        <v>1600</v>
      </c>
      <c r="E11">
        <v>1600</v>
      </c>
      <c r="F11">
        <v>3410</v>
      </c>
      <c r="G11">
        <v>699</v>
      </c>
      <c r="H11">
        <v>5</v>
      </c>
      <c r="I11">
        <v>0</v>
      </c>
      <c r="J11">
        <v>2</v>
      </c>
      <c r="L11">
        <v>1019</v>
      </c>
      <c r="M11">
        <v>0</v>
      </c>
      <c r="N11">
        <v>581</v>
      </c>
      <c r="O11">
        <v>0</v>
      </c>
      <c r="P11">
        <v>715</v>
      </c>
      <c r="Q11">
        <v>61</v>
      </c>
      <c r="R11">
        <v>2162</v>
      </c>
      <c r="S11">
        <v>3471</v>
      </c>
      <c r="T11">
        <v>311743.10377358401</v>
      </c>
      <c r="U11">
        <v>0</v>
      </c>
      <c r="V11">
        <v>0</v>
      </c>
      <c r="W11">
        <v>194.83943985849001</v>
      </c>
      <c r="X11">
        <v>46.920821114369502</v>
      </c>
      <c r="Y11">
        <v>19788.8490566037</v>
      </c>
      <c r="Z11">
        <v>111</v>
      </c>
      <c r="AA11">
        <v>81</v>
      </c>
      <c r="AB11">
        <v>0</v>
      </c>
      <c r="AC11">
        <v>30</v>
      </c>
      <c r="AD11">
        <v>0</v>
      </c>
      <c r="AE11">
        <v>179</v>
      </c>
      <c r="AF11">
        <v>23</v>
      </c>
      <c r="AG11">
        <v>56</v>
      </c>
      <c r="AH11">
        <v>0</v>
      </c>
      <c r="AI11">
        <v>0</v>
      </c>
      <c r="AJ11">
        <v>0</v>
      </c>
      <c r="AL11">
        <v>267</v>
      </c>
      <c r="AM11" t="s">
        <v>218</v>
      </c>
      <c r="AN11" t="s">
        <v>205</v>
      </c>
      <c r="AO11">
        <v>15017.528301886699</v>
      </c>
      <c r="AP11">
        <v>0</v>
      </c>
      <c r="AQ11">
        <v>0</v>
      </c>
      <c r="AR11">
        <v>4771.3207547169804</v>
      </c>
      <c r="AS11">
        <v>0</v>
      </c>
      <c r="AT11">
        <v>0</v>
      </c>
      <c r="AU11">
        <v>4</v>
      </c>
      <c r="AV11">
        <v>111</v>
      </c>
      <c r="AW11">
        <v>263</v>
      </c>
      <c r="AX11">
        <v>178.27791942886199</v>
      </c>
      <c r="AY11">
        <v>42.2053231939163</v>
      </c>
      <c r="AZ11">
        <v>15017.528301886699</v>
      </c>
      <c r="BB11">
        <v>4771.3207547169804</v>
      </c>
    </row>
    <row r="12" spans="1:76" x14ac:dyDescent="0.25">
      <c r="B12" t="s">
        <v>172</v>
      </c>
      <c r="C12" t="s">
        <v>26</v>
      </c>
      <c r="D12">
        <v>1600</v>
      </c>
      <c r="E12">
        <v>1600</v>
      </c>
      <c r="F12">
        <v>3410</v>
      </c>
      <c r="G12">
        <v>699</v>
      </c>
      <c r="H12">
        <v>5</v>
      </c>
      <c r="I12">
        <v>0</v>
      </c>
      <c r="J12">
        <v>2</v>
      </c>
      <c r="L12">
        <v>1019</v>
      </c>
      <c r="M12">
        <v>0</v>
      </c>
      <c r="N12">
        <v>581</v>
      </c>
      <c r="O12">
        <v>0</v>
      </c>
      <c r="P12">
        <v>715</v>
      </c>
      <c r="Q12">
        <v>61</v>
      </c>
      <c r="R12">
        <v>2162</v>
      </c>
      <c r="S12">
        <v>3471</v>
      </c>
      <c r="T12">
        <v>311743.10377358401</v>
      </c>
      <c r="U12">
        <v>0</v>
      </c>
      <c r="V12">
        <v>0</v>
      </c>
      <c r="W12">
        <v>194.83943985849001</v>
      </c>
      <c r="X12">
        <v>46.920821114369502</v>
      </c>
      <c r="Y12">
        <v>18228.075471698099</v>
      </c>
      <c r="Z12">
        <v>92</v>
      </c>
      <c r="AA12">
        <v>58</v>
      </c>
      <c r="AB12">
        <v>0</v>
      </c>
      <c r="AC12">
        <v>34</v>
      </c>
      <c r="AD12">
        <v>0</v>
      </c>
      <c r="AE12">
        <v>112</v>
      </c>
      <c r="AF12">
        <v>35</v>
      </c>
      <c r="AG12">
        <v>59</v>
      </c>
      <c r="AH12">
        <v>0</v>
      </c>
      <c r="AI12">
        <v>0</v>
      </c>
      <c r="AJ12">
        <v>0</v>
      </c>
      <c r="AL12">
        <v>267</v>
      </c>
      <c r="AM12" t="s">
        <v>219</v>
      </c>
      <c r="AN12" t="s">
        <v>206</v>
      </c>
      <c r="AO12">
        <v>12440.716981132</v>
      </c>
      <c r="AP12">
        <v>0</v>
      </c>
      <c r="AQ12">
        <v>0</v>
      </c>
      <c r="AR12">
        <v>5787.35849056603</v>
      </c>
      <c r="AS12">
        <v>0</v>
      </c>
      <c r="AT12">
        <v>0</v>
      </c>
      <c r="AU12">
        <v>4</v>
      </c>
      <c r="AV12">
        <v>92</v>
      </c>
      <c r="AW12">
        <v>263</v>
      </c>
      <c r="AX12">
        <v>198.131255127153</v>
      </c>
      <c r="AY12">
        <v>34.9809885931558</v>
      </c>
      <c r="AZ12">
        <v>12440.716981132</v>
      </c>
      <c r="BB12">
        <v>5787.35849056603</v>
      </c>
    </row>
    <row r="13" spans="1:76" x14ac:dyDescent="0.25">
      <c r="B13" t="s">
        <v>172</v>
      </c>
      <c r="C13" t="s">
        <v>26</v>
      </c>
      <c r="D13">
        <v>1600</v>
      </c>
      <c r="E13">
        <v>1600</v>
      </c>
      <c r="F13">
        <v>3410</v>
      </c>
      <c r="G13">
        <v>699</v>
      </c>
      <c r="H13">
        <v>5</v>
      </c>
      <c r="I13">
        <v>0</v>
      </c>
      <c r="J13">
        <v>2</v>
      </c>
      <c r="L13">
        <v>1019</v>
      </c>
      <c r="M13">
        <v>0</v>
      </c>
      <c r="N13">
        <v>581</v>
      </c>
      <c r="O13">
        <v>0</v>
      </c>
      <c r="P13">
        <v>715</v>
      </c>
      <c r="Q13">
        <v>61</v>
      </c>
      <c r="R13">
        <v>2162</v>
      </c>
      <c r="S13">
        <v>3471</v>
      </c>
      <c r="T13">
        <v>311743.10377358401</v>
      </c>
      <c r="U13">
        <v>0</v>
      </c>
      <c r="V13">
        <v>0</v>
      </c>
      <c r="W13">
        <v>194.83943985849001</v>
      </c>
      <c r="X13">
        <v>46.920821114369502</v>
      </c>
      <c r="Y13">
        <v>23532.5849056603</v>
      </c>
      <c r="Z13">
        <v>121</v>
      </c>
      <c r="AA13">
        <v>71</v>
      </c>
      <c r="AB13">
        <v>0</v>
      </c>
      <c r="AC13">
        <v>50</v>
      </c>
      <c r="AD13">
        <v>0</v>
      </c>
      <c r="AE13">
        <v>139</v>
      </c>
      <c r="AF13">
        <v>27</v>
      </c>
      <c r="AG13">
        <v>14</v>
      </c>
      <c r="AH13">
        <v>0</v>
      </c>
      <c r="AI13">
        <v>0</v>
      </c>
      <c r="AJ13">
        <v>0</v>
      </c>
      <c r="AL13">
        <v>267</v>
      </c>
      <c r="AM13" t="s">
        <v>220</v>
      </c>
      <c r="AN13" t="s">
        <v>213</v>
      </c>
      <c r="AO13">
        <v>15505.226415094299</v>
      </c>
      <c r="AP13">
        <v>0</v>
      </c>
      <c r="AQ13">
        <v>0</v>
      </c>
      <c r="AR13">
        <v>8027.35849056603</v>
      </c>
      <c r="AS13">
        <v>0</v>
      </c>
      <c r="AT13">
        <v>0</v>
      </c>
      <c r="AU13">
        <v>4</v>
      </c>
      <c r="AV13">
        <v>121</v>
      </c>
      <c r="AW13">
        <v>263</v>
      </c>
      <c r="AX13">
        <v>194.48417277405201</v>
      </c>
      <c r="AY13">
        <v>46.007604562737598</v>
      </c>
      <c r="AZ13">
        <v>15505.226415094299</v>
      </c>
      <c r="BB13">
        <v>8027.35849056603</v>
      </c>
    </row>
    <row r="14" spans="1:76" x14ac:dyDescent="0.25">
      <c r="B14" t="s">
        <v>172</v>
      </c>
      <c r="C14" t="s">
        <v>26</v>
      </c>
      <c r="D14">
        <v>1600</v>
      </c>
      <c r="E14">
        <v>1600</v>
      </c>
      <c r="F14">
        <v>3410</v>
      </c>
      <c r="G14">
        <v>699</v>
      </c>
      <c r="H14">
        <v>5</v>
      </c>
      <c r="I14">
        <v>0</v>
      </c>
      <c r="J14">
        <v>2</v>
      </c>
      <c r="L14">
        <v>1019</v>
      </c>
      <c r="M14">
        <v>0</v>
      </c>
      <c r="N14">
        <v>581</v>
      </c>
      <c r="O14">
        <v>0</v>
      </c>
      <c r="P14">
        <v>715</v>
      </c>
      <c r="Q14">
        <v>61</v>
      </c>
      <c r="R14">
        <v>2162</v>
      </c>
      <c r="S14">
        <v>3471</v>
      </c>
      <c r="T14">
        <v>311743.10377358401</v>
      </c>
      <c r="U14">
        <v>0</v>
      </c>
      <c r="V14">
        <v>0</v>
      </c>
      <c r="W14">
        <v>194.83943985849001</v>
      </c>
      <c r="X14">
        <v>46.920821114369502</v>
      </c>
      <c r="Y14">
        <v>23487.839622641499</v>
      </c>
      <c r="Z14">
        <v>129</v>
      </c>
      <c r="AA14">
        <v>90</v>
      </c>
      <c r="AB14">
        <v>0</v>
      </c>
      <c r="AC14">
        <v>39</v>
      </c>
      <c r="AD14">
        <v>0</v>
      </c>
      <c r="AE14">
        <v>149</v>
      </c>
      <c r="AF14">
        <v>46</v>
      </c>
      <c r="AG14">
        <v>26</v>
      </c>
      <c r="AH14">
        <v>1</v>
      </c>
      <c r="AI14">
        <v>0</v>
      </c>
      <c r="AJ14">
        <v>0</v>
      </c>
      <c r="AL14">
        <v>267</v>
      </c>
      <c r="AM14" t="s">
        <v>221</v>
      </c>
      <c r="AN14" t="s">
        <v>222</v>
      </c>
      <c r="AO14">
        <v>16746.292452830101</v>
      </c>
      <c r="AP14">
        <v>0</v>
      </c>
      <c r="AQ14">
        <v>0</v>
      </c>
      <c r="AR14">
        <v>6741.5471698113197</v>
      </c>
      <c r="AS14">
        <v>0</v>
      </c>
      <c r="AT14">
        <v>0</v>
      </c>
      <c r="AU14">
        <v>4</v>
      </c>
      <c r="AV14">
        <v>129</v>
      </c>
      <c r="AW14">
        <v>263</v>
      </c>
      <c r="AX14">
        <v>182.07627614450701</v>
      </c>
      <c r="AY14">
        <v>49.049429657794597</v>
      </c>
      <c r="AZ14">
        <v>16746.292452830101</v>
      </c>
      <c r="BB14">
        <v>6741.5471698113197</v>
      </c>
    </row>
    <row r="15" spans="1:76" x14ac:dyDescent="0.25">
      <c r="A15" t="s">
        <v>173</v>
      </c>
      <c r="B15" t="s">
        <v>174</v>
      </c>
      <c r="C15" t="s">
        <v>175</v>
      </c>
      <c r="D15" t="s">
        <v>176</v>
      </c>
      <c r="E15" t="s">
        <v>177</v>
      </c>
      <c r="F15" t="s">
        <v>178</v>
      </c>
      <c r="G15" t="s">
        <v>179</v>
      </c>
      <c r="H15" t="s">
        <v>180</v>
      </c>
      <c r="I15" t="s">
        <v>181</v>
      </c>
      <c r="J15" t="s">
        <v>182</v>
      </c>
      <c r="K15" t="s">
        <v>183</v>
      </c>
      <c r="L15" t="s">
        <v>184</v>
      </c>
      <c r="M15" t="s">
        <v>185</v>
      </c>
      <c r="N15" t="s">
        <v>186</v>
      </c>
      <c r="O15" t="s">
        <v>187</v>
      </c>
      <c r="P15" t="s">
        <v>188</v>
      </c>
      <c r="Q15" t="s">
        <v>189</v>
      </c>
      <c r="R15" t="s">
        <v>190</v>
      </c>
      <c r="S15" t="s">
        <v>191</v>
      </c>
      <c r="T15" t="s">
        <v>192</v>
      </c>
      <c r="U15" t="s">
        <v>193</v>
      </c>
    </row>
    <row r="16" spans="1:76" x14ac:dyDescent="0.25">
      <c r="A16">
        <v>1600</v>
      </c>
      <c r="B16">
        <v>699</v>
      </c>
      <c r="C16">
        <v>5</v>
      </c>
      <c r="D16">
        <v>0</v>
      </c>
      <c r="E16">
        <v>1019</v>
      </c>
      <c r="F16">
        <v>0</v>
      </c>
      <c r="G16">
        <v>581</v>
      </c>
      <c r="H16">
        <v>0</v>
      </c>
      <c r="I16">
        <v>715</v>
      </c>
      <c r="J16">
        <v>61</v>
      </c>
      <c r="K16">
        <v>2162</v>
      </c>
      <c r="L16">
        <v>311743.10377358401</v>
      </c>
      <c r="M16">
        <v>3471</v>
      </c>
      <c r="N16">
        <v>194.83943985849001</v>
      </c>
      <c r="O16">
        <v>46.920821114369502</v>
      </c>
      <c r="P16">
        <v>0</v>
      </c>
      <c r="Q16">
        <v>0</v>
      </c>
      <c r="R16">
        <v>1600</v>
      </c>
      <c r="S16">
        <v>3410</v>
      </c>
      <c r="T16">
        <v>2</v>
      </c>
    </row>
    <row r="18" spans="39:39" x14ac:dyDescent="0.25">
      <c r="AM18" s="233"/>
    </row>
    <row r="19" spans="39:39" x14ac:dyDescent="0.25">
      <c r="AM19" s="233"/>
    </row>
    <row r="20" spans="39:39" x14ac:dyDescent="0.25">
      <c r="AM20" s="233"/>
    </row>
    <row r="21" spans="39:39" x14ac:dyDescent="0.25">
      <c r="AM21" s="233"/>
    </row>
    <row r="22" spans="39:39" x14ac:dyDescent="0.25">
      <c r="AM22" s="233"/>
    </row>
    <row r="23" spans="39:39" x14ac:dyDescent="0.25">
      <c r="AM23" s="233"/>
    </row>
    <row r="24" spans="39:39" x14ac:dyDescent="0.25">
      <c r="AM24" s="233"/>
    </row>
    <row r="25" spans="39:39" x14ac:dyDescent="0.25">
      <c r="AM25" s="233"/>
    </row>
    <row r="26" spans="39:39" x14ac:dyDescent="0.25">
      <c r="AM26" s="233"/>
    </row>
    <row r="27" spans="39:39" x14ac:dyDescent="0.25">
      <c r="AM27" s="233"/>
    </row>
    <row r="28" spans="39:39" x14ac:dyDescent="0.25">
      <c r="AM28" s="233"/>
    </row>
    <row r="29" spans="39:39" x14ac:dyDescent="0.25">
      <c r="AM29" s="233"/>
    </row>
    <row r="30" spans="39:39" x14ac:dyDescent="0.25">
      <c r="AM30" s="23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39EB4-D22A-4AB7-A6F4-C2146DC81B0F}">
  <sheetPr codeName="Worksheet____4">
    <tabColor theme="0"/>
    <pageSetUpPr fitToPage="1"/>
  </sheetPr>
  <dimension ref="A1:E130"/>
  <sheetViews>
    <sheetView topLeftCell="B1" zoomScale="85" zoomScaleNormal="85" workbookViewId="0">
      <selection activeCell="A40" sqref="A40"/>
    </sheetView>
  </sheetViews>
  <sheetFormatPr defaultColWidth="9.140625" defaultRowHeight="15" x14ac:dyDescent="0.25"/>
  <cols>
    <col min="1" max="1" width="32.42578125" customWidth="1"/>
    <col min="2" max="2" width="24.85546875" bestFit="1" customWidth="1"/>
    <col min="3" max="3" width="35.42578125" bestFit="1" customWidth="1"/>
    <col min="4" max="4" width="16.28515625" bestFit="1" customWidth="1"/>
    <col min="5" max="5" width="15.7109375" customWidth="1"/>
    <col min="6" max="6" width="14.42578125" customWidth="1"/>
    <col min="7" max="7" width="16.5703125" bestFit="1" customWidth="1"/>
    <col min="8" max="8" width="12.42578125" bestFit="1" customWidth="1"/>
    <col min="9" max="10" width="9.140625" customWidth="1"/>
    <col min="11" max="11" width="22.140625" customWidth="1"/>
    <col min="12" max="12" width="28.5703125" bestFit="1" customWidth="1"/>
    <col min="13" max="13" width="14.7109375" customWidth="1"/>
    <col min="14" max="14" width="34.5703125" customWidth="1"/>
    <col min="15" max="15" width="21.85546875" customWidth="1"/>
  </cols>
  <sheetData>
    <row r="1" spans="1:3" ht="16.5" thickBot="1" x14ac:dyDescent="0.3">
      <c r="A1" s="12" t="s">
        <v>29</v>
      </c>
      <c r="B1" s="18" t="s">
        <v>30</v>
      </c>
      <c r="C1" s="13" t="s">
        <v>60</v>
      </c>
    </row>
    <row r="2" spans="1:3" ht="15.75" customHeight="1" x14ac:dyDescent="0.25">
      <c r="A2" s="140"/>
      <c r="B2" s="140"/>
      <c r="C2" s="141"/>
    </row>
    <row r="3" spans="1:3" ht="18.75" customHeight="1" x14ac:dyDescent="0.25">
      <c r="A3" s="140"/>
      <c r="B3" s="140"/>
      <c r="C3" s="141"/>
    </row>
    <row r="4" spans="1:3" ht="15.75" customHeight="1" x14ac:dyDescent="0.25">
      <c r="A4" s="140"/>
      <c r="B4" s="140"/>
      <c r="C4" s="141"/>
    </row>
    <row r="5" spans="1:3" ht="23.25" customHeight="1" x14ac:dyDescent="0.25">
      <c r="A5" s="140"/>
      <c r="B5" s="140"/>
      <c r="C5" s="141"/>
    </row>
    <row r="6" spans="1:3" ht="15.75" x14ac:dyDescent="0.25">
      <c r="A6" s="140"/>
      <c r="B6" s="140"/>
      <c r="C6" s="141"/>
    </row>
    <row r="7" spans="1:3" ht="15.75" customHeight="1" x14ac:dyDescent="0.25">
      <c r="A7" s="140"/>
      <c r="B7" s="140"/>
      <c r="C7" s="141"/>
    </row>
    <row r="8" spans="1:3" ht="15.75" x14ac:dyDescent="0.25">
      <c r="A8" s="140"/>
      <c r="B8" s="140"/>
      <c r="C8" s="141"/>
    </row>
    <row r="9" spans="1:3" ht="15.75" x14ac:dyDescent="0.25">
      <c r="A9" s="140"/>
      <c r="B9" s="140"/>
      <c r="C9" s="141"/>
    </row>
    <row r="10" spans="1:3" ht="15.75" x14ac:dyDescent="0.25">
      <c r="A10" s="140"/>
      <c r="B10" s="140"/>
      <c r="C10" s="141"/>
    </row>
    <row r="11" spans="1:3" ht="15.75" x14ac:dyDescent="0.25">
      <c r="A11" s="140"/>
      <c r="B11" s="140"/>
      <c r="C11" s="141"/>
    </row>
    <row r="12" spans="1:3" ht="15.75" customHeight="1" x14ac:dyDescent="0.25">
      <c r="A12" s="140"/>
      <c r="B12" s="140"/>
      <c r="C12" s="141"/>
    </row>
    <row r="13" spans="1:3" ht="15.75" x14ac:dyDescent="0.25">
      <c r="A13" s="140"/>
      <c r="B13" s="140"/>
      <c r="C13" s="141"/>
    </row>
    <row r="14" spans="1:3" ht="15.75" x14ac:dyDescent="0.25">
      <c r="A14" s="140"/>
      <c r="B14" s="140"/>
      <c r="C14" s="141"/>
    </row>
    <row r="15" spans="1:3" ht="15.75" x14ac:dyDescent="0.25">
      <c r="A15" s="140"/>
      <c r="B15" s="140"/>
      <c r="C15" s="141"/>
    </row>
    <row r="16" spans="1:3" ht="15.75" x14ac:dyDescent="0.25">
      <c r="A16" s="140"/>
      <c r="B16" s="140"/>
      <c r="C16" s="141"/>
    </row>
    <row r="17" spans="1:3" ht="15.75" x14ac:dyDescent="0.25">
      <c r="A17" s="140"/>
      <c r="B17" s="140"/>
      <c r="C17" s="141"/>
    </row>
    <row r="18" spans="1:3" ht="16.5" thickBot="1" x14ac:dyDescent="0.3">
      <c r="A18" s="140"/>
      <c r="B18" s="140"/>
      <c r="C18" s="141"/>
    </row>
    <row r="19" spans="1:3" ht="16.5" thickBot="1" x14ac:dyDescent="0.3">
      <c r="A19" s="140"/>
      <c r="B19" s="142"/>
      <c r="C19" s="143"/>
    </row>
    <row r="20" spans="1:3" ht="15.75" x14ac:dyDescent="0.25">
      <c r="A20" s="140"/>
      <c r="B20" s="140"/>
      <c r="C20" s="141"/>
    </row>
    <row r="21" spans="1:3" ht="18" customHeight="1" x14ac:dyDescent="0.25">
      <c r="A21" s="140"/>
      <c r="B21" s="140"/>
      <c r="C21" s="141"/>
    </row>
    <row r="22" spans="1:3" ht="20.25" customHeight="1" x14ac:dyDescent="0.25">
      <c r="A22" s="140"/>
      <c r="B22" s="140"/>
      <c r="C22" s="141"/>
    </row>
    <row r="23" spans="1:3" ht="15.75" x14ac:dyDescent="0.25">
      <c r="A23" s="140"/>
      <c r="B23" s="140"/>
      <c r="C23" s="141"/>
    </row>
    <row r="24" spans="1:3" ht="15.75" x14ac:dyDescent="0.25">
      <c r="A24" s="140"/>
      <c r="B24" s="140"/>
      <c r="C24" s="141"/>
    </row>
    <row r="25" spans="1:3" ht="15.75" x14ac:dyDescent="0.25">
      <c r="A25" s="140"/>
      <c r="B25" s="140"/>
      <c r="C25" s="141"/>
    </row>
    <row r="26" spans="1:3" ht="15.75" x14ac:dyDescent="0.25">
      <c r="A26" s="140"/>
      <c r="B26" s="140"/>
      <c r="C26" s="141"/>
    </row>
    <row r="27" spans="1:3" ht="15.75" x14ac:dyDescent="0.25">
      <c r="A27" s="140"/>
      <c r="B27" s="140"/>
      <c r="C27" s="141"/>
    </row>
    <row r="28" spans="1:3" ht="16.5" thickBot="1" x14ac:dyDescent="0.3">
      <c r="A28" s="140"/>
      <c r="B28" s="140"/>
      <c r="C28" s="141"/>
    </row>
    <row r="29" spans="1:3" ht="16.5" thickBot="1" x14ac:dyDescent="0.3">
      <c r="A29" s="12" t="s">
        <v>65</v>
      </c>
      <c r="B29" s="18" t="s">
        <v>30</v>
      </c>
      <c r="C29" s="13" t="s">
        <v>60</v>
      </c>
    </row>
    <row r="30" spans="1:3" ht="21" x14ac:dyDescent="0.35">
      <c r="A30" s="186"/>
      <c r="B30" s="187"/>
      <c r="C30" s="186"/>
    </row>
    <row r="31" spans="1:3" ht="21" x14ac:dyDescent="0.35">
      <c r="A31" s="186"/>
      <c r="B31" s="197"/>
      <c r="C31" s="186"/>
    </row>
    <row r="32" spans="1:3" ht="21" x14ac:dyDescent="0.35">
      <c r="A32" s="186"/>
      <c r="B32" s="197"/>
      <c r="C32" s="186"/>
    </row>
    <row r="33" spans="1:5" ht="21" x14ac:dyDescent="0.35">
      <c r="A33" s="186"/>
      <c r="B33" s="187"/>
      <c r="C33" s="186"/>
    </row>
    <row r="34" spans="1:5" ht="21" x14ac:dyDescent="0.35">
      <c r="A34" s="186"/>
      <c r="B34" s="197"/>
      <c r="C34" s="186"/>
    </row>
    <row r="35" spans="1:5" ht="15.75" customHeight="1" x14ac:dyDescent="0.35">
      <c r="A35" s="186"/>
      <c r="B35" s="187"/>
      <c r="C35" s="186"/>
      <c r="E35" s="87"/>
    </row>
    <row r="36" spans="1:5" ht="15.75" customHeight="1" x14ac:dyDescent="0.35">
      <c r="A36" s="186"/>
      <c r="B36" s="187"/>
      <c r="C36" s="186"/>
    </row>
    <row r="37" spans="1:5" ht="15.75" customHeight="1" x14ac:dyDescent="0.35">
      <c r="A37" s="186"/>
      <c r="B37" s="187"/>
      <c r="C37" s="186"/>
    </row>
    <row r="38" spans="1:5" ht="16.5" customHeight="1" x14ac:dyDescent="0.35">
      <c r="A38" s="186"/>
      <c r="B38" s="187"/>
      <c r="C38" s="186"/>
    </row>
    <row r="39" spans="1:5" ht="21" x14ac:dyDescent="0.35">
      <c r="A39" s="186"/>
      <c r="B39" s="197"/>
      <c r="C39" s="186"/>
      <c r="E39" s="87"/>
    </row>
    <row r="40" spans="1:5" ht="21" x14ac:dyDescent="0.35">
      <c r="A40" s="186"/>
      <c r="B40" s="187"/>
      <c r="C40" s="186"/>
    </row>
    <row r="41" spans="1:5" ht="21" x14ac:dyDescent="0.35">
      <c r="A41" s="186"/>
      <c r="B41" s="197"/>
      <c r="C41" s="186"/>
    </row>
    <row r="42" spans="1:5" ht="24" customHeight="1" x14ac:dyDescent="0.35">
      <c r="A42" s="186"/>
      <c r="B42" s="187"/>
      <c r="C42" s="186"/>
    </row>
    <row r="43" spans="1:5" ht="21.75" customHeight="1" x14ac:dyDescent="0.35">
      <c r="A43" s="186"/>
      <c r="B43" s="197"/>
      <c r="C43" s="186"/>
    </row>
    <row r="44" spans="1:5" ht="21" x14ac:dyDescent="0.35">
      <c r="A44" s="186"/>
      <c r="B44" s="187"/>
      <c r="C44" s="186"/>
    </row>
    <row r="45" spans="1:5" ht="21" x14ac:dyDescent="0.35">
      <c r="A45" s="186"/>
      <c r="B45" s="187"/>
      <c r="C45" s="186"/>
    </row>
    <row r="46" spans="1:5" ht="21" x14ac:dyDescent="0.35">
      <c r="A46" s="186"/>
      <c r="B46" s="197"/>
      <c r="C46" s="186"/>
    </row>
    <row r="47" spans="1:5" ht="15.75" x14ac:dyDescent="0.25">
      <c r="A47" s="140"/>
      <c r="B47" s="140"/>
      <c r="C47" s="141"/>
    </row>
    <row r="48" spans="1:5" ht="15.75" x14ac:dyDescent="0.25">
      <c r="A48" s="140"/>
      <c r="B48" s="140"/>
      <c r="C48" s="141"/>
    </row>
    <row r="49" spans="1:3" ht="15.75" x14ac:dyDescent="0.25">
      <c r="A49" s="140"/>
      <c r="B49" s="140"/>
      <c r="C49" s="141"/>
    </row>
    <row r="50" spans="1:3" ht="15.75" x14ac:dyDescent="0.25">
      <c r="A50" s="140"/>
      <c r="B50" s="140"/>
      <c r="C50" s="141"/>
    </row>
    <row r="51" spans="1:3" ht="15.75" x14ac:dyDescent="0.25">
      <c r="A51" s="140"/>
      <c r="B51" s="140"/>
      <c r="C51" s="141"/>
    </row>
    <row r="52" spans="1:3" ht="15.75" x14ac:dyDescent="0.25">
      <c r="A52" s="140"/>
      <c r="B52" s="140"/>
      <c r="C52" s="141"/>
    </row>
    <row r="53" spans="1:3" ht="15.75" x14ac:dyDescent="0.25">
      <c r="A53" s="140"/>
      <c r="B53" s="140"/>
      <c r="C53" s="141"/>
    </row>
    <row r="54" spans="1:3" ht="15.75" x14ac:dyDescent="0.25">
      <c r="A54" s="140"/>
      <c r="B54" s="140"/>
      <c r="C54" s="141"/>
    </row>
    <row r="55" spans="1:3" ht="15.75" x14ac:dyDescent="0.25">
      <c r="A55" s="140"/>
      <c r="B55" s="140"/>
      <c r="C55" s="141"/>
    </row>
    <row r="56" spans="1:3" ht="15.75" x14ac:dyDescent="0.25">
      <c r="A56" s="140"/>
      <c r="B56" s="140"/>
      <c r="C56" s="141"/>
    </row>
    <row r="57" spans="1:3" ht="15.75" x14ac:dyDescent="0.25">
      <c r="A57" s="140"/>
      <c r="B57" s="140"/>
      <c r="C57" s="141"/>
    </row>
    <row r="58" spans="1:3" ht="15.75" x14ac:dyDescent="0.25">
      <c r="A58" s="140"/>
      <c r="B58" s="140"/>
      <c r="C58" s="141"/>
    </row>
    <row r="59" spans="1:3" ht="15.75" x14ac:dyDescent="0.25">
      <c r="A59" s="140"/>
      <c r="B59" s="140"/>
      <c r="C59" s="141"/>
    </row>
    <row r="60" spans="1:3" ht="15.75" x14ac:dyDescent="0.25">
      <c r="A60" s="140"/>
      <c r="B60" s="140"/>
      <c r="C60" s="141"/>
    </row>
    <row r="61" spans="1:3" ht="15.75" x14ac:dyDescent="0.25">
      <c r="A61" s="140"/>
      <c r="B61" s="140"/>
      <c r="C61" s="141"/>
    </row>
    <row r="62" spans="1:3" ht="15.75" x14ac:dyDescent="0.25">
      <c r="A62" s="140"/>
      <c r="B62" s="140"/>
      <c r="C62" s="141"/>
    </row>
    <row r="63" spans="1:3" ht="15.75" x14ac:dyDescent="0.25">
      <c r="A63" s="140"/>
      <c r="B63" s="140"/>
      <c r="C63" s="141"/>
    </row>
    <row r="64" spans="1:3" ht="15.75" x14ac:dyDescent="0.25">
      <c r="A64" s="140"/>
      <c r="B64" s="140"/>
      <c r="C64" s="141"/>
    </row>
    <row r="65" spans="1:3" ht="15.75" x14ac:dyDescent="0.25">
      <c r="A65" s="146"/>
      <c r="B65" s="147"/>
      <c r="C65" s="148"/>
    </row>
    <row r="66" spans="1:3" ht="15.75" customHeight="1" x14ac:dyDescent="0.25">
      <c r="A66" s="141"/>
      <c r="B66" s="140"/>
      <c r="C66" s="140"/>
    </row>
    <row r="67" spans="1:3" ht="15.75" customHeight="1" x14ac:dyDescent="0.25">
      <c r="A67" s="141"/>
      <c r="B67" s="140"/>
      <c r="C67" s="140"/>
    </row>
    <row r="68" spans="1:3" ht="15.75" customHeight="1" x14ac:dyDescent="0.25">
      <c r="A68" s="141"/>
      <c r="B68" s="140"/>
      <c r="C68" s="140"/>
    </row>
    <row r="69" spans="1:3" ht="15.75" customHeight="1" x14ac:dyDescent="0.25">
      <c r="A69" s="141"/>
      <c r="B69" s="140"/>
      <c r="C69" s="141"/>
    </row>
    <row r="70" spans="1:3" ht="15.75" customHeight="1" x14ac:dyDescent="0.25">
      <c r="A70" s="141"/>
      <c r="B70" s="140"/>
      <c r="C70" s="140"/>
    </row>
    <row r="71" spans="1:3" ht="15.75" customHeight="1" thickBot="1" x14ac:dyDescent="0.3">
      <c r="A71" s="141"/>
      <c r="B71" s="140"/>
      <c r="C71" s="141"/>
    </row>
    <row r="72" spans="1:3" ht="16.5" thickBot="1" x14ac:dyDescent="0.3">
      <c r="A72" s="12" t="s">
        <v>64</v>
      </c>
      <c r="B72" s="18" t="s">
        <v>30</v>
      </c>
      <c r="C72" s="13" t="s">
        <v>60</v>
      </c>
    </row>
    <row r="73" spans="1:3" ht="21" x14ac:dyDescent="0.35">
      <c r="A73" s="198"/>
      <c r="B73" s="199"/>
      <c r="C73" s="198"/>
    </row>
    <row r="74" spans="1:3" ht="21" x14ac:dyDescent="0.35">
      <c r="A74" s="198"/>
      <c r="B74" s="199"/>
      <c r="C74" s="198"/>
    </row>
    <row r="75" spans="1:3" ht="15.75" x14ac:dyDescent="0.25">
      <c r="A75" s="140"/>
      <c r="B75" s="140"/>
      <c r="C75" s="141"/>
    </row>
    <row r="76" spans="1:3" ht="15.75" x14ac:dyDescent="0.25">
      <c r="A76" s="140"/>
      <c r="B76" s="140"/>
      <c r="C76" s="141"/>
    </row>
    <row r="77" spans="1:3" ht="15.75" x14ac:dyDescent="0.25">
      <c r="A77" s="140"/>
      <c r="B77" s="140"/>
      <c r="C77" s="141"/>
    </row>
    <row r="78" spans="1:3" ht="15.75" x14ac:dyDescent="0.25">
      <c r="A78" s="140"/>
      <c r="B78" s="140"/>
      <c r="C78" s="141"/>
    </row>
    <row r="79" spans="1:3" ht="16.5" thickBot="1" x14ac:dyDescent="0.3">
      <c r="A79" s="140"/>
      <c r="B79" s="140"/>
      <c r="C79" s="141"/>
    </row>
    <row r="80" spans="1:3" ht="16.5" thickBot="1" x14ac:dyDescent="0.3">
      <c r="A80" s="144"/>
      <c r="B80" s="145"/>
      <c r="C80" s="143"/>
    </row>
    <row r="81" spans="1:3" ht="15.75" x14ac:dyDescent="0.25">
      <c r="A81" s="140"/>
      <c r="B81" s="140"/>
      <c r="C81" s="141"/>
    </row>
    <row r="82" spans="1:3" ht="15.75" x14ac:dyDescent="0.25">
      <c r="A82" s="140"/>
      <c r="B82" s="140"/>
      <c r="C82" s="141"/>
    </row>
    <row r="83" spans="1:3" ht="15.75" x14ac:dyDescent="0.25">
      <c r="A83" s="140"/>
      <c r="B83" s="140"/>
      <c r="C83" s="141"/>
    </row>
    <row r="84" spans="1:3" ht="15.75" x14ac:dyDescent="0.25">
      <c r="A84" s="140"/>
      <c r="B84" s="140"/>
      <c r="C84" s="141"/>
    </row>
    <row r="85" spans="1:3" ht="15.75" x14ac:dyDescent="0.25">
      <c r="A85" s="140"/>
      <c r="B85" s="140"/>
      <c r="C85" s="141"/>
    </row>
    <row r="86" spans="1:3" ht="15.75" x14ac:dyDescent="0.25">
      <c r="A86" s="140"/>
      <c r="B86" s="140"/>
      <c r="C86" s="141"/>
    </row>
    <row r="87" spans="1:3" ht="15.75" x14ac:dyDescent="0.25">
      <c r="A87" s="140"/>
      <c r="B87" s="140"/>
      <c r="C87" s="141"/>
    </row>
    <row r="88" spans="1:3" ht="15.75" x14ac:dyDescent="0.25">
      <c r="A88" s="140"/>
      <c r="B88" s="140"/>
      <c r="C88" s="141"/>
    </row>
    <row r="89" spans="1:3" ht="15.75" x14ac:dyDescent="0.25">
      <c r="A89" s="140"/>
      <c r="B89" s="140"/>
      <c r="C89" s="141"/>
    </row>
    <row r="90" spans="1:3" ht="15.75" x14ac:dyDescent="0.25">
      <c r="A90" s="140"/>
      <c r="B90" s="140"/>
      <c r="C90" s="141"/>
    </row>
    <row r="91" spans="1:3" ht="15.75" x14ac:dyDescent="0.25">
      <c r="A91" s="140"/>
      <c r="B91" s="140"/>
      <c r="C91" s="141"/>
    </row>
    <row r="92" spans="1:3" ht="15.75" x14ac:dyDescent="0.25">
      <c r="A92" s="140"/>
      <c r="B92" s="140"/>
      <c r="C92" s="141"/>
    </row>
    <row r="93" spans="1:3" ht="15.75" x14ac:dyDescent="0.25">
      <c r="A93" s="140"/>
      <c r="B93" s="140"/>
      <c r="C93" s="141"/>
    </row>
    <row r="94" spans="1:3" ht="15.75" x14ac:dyDescent="0.25">
      <c r="A94" s="140"/>
      <c r="B94" s="140"/>
      <c r="C94" s="141"/>
    </row>
    <row r="95" spans="1:3" ht="15.75" x14ac:dyDescent="0.25">
      <c r="A95" s="149"/>
      <c r="B95" s="140"/>
      <c r="C95" s="150"/>
    </row>
    <row r="96" spans="1:3" ht="15.75" x14ac:dyDescent="0.25">
      <c r="A96" s="141"/>
      <c r="B96" s="140"/>
      <c r="C96" s="140"/>
    </row>
    <row r="97" spans="1:3" ht="15.75" x14ac:dyDescent="0.25">
      <c r="A97" s="141"/>
      <c r="B97" s="140"/>
      <c r="C97" s="140"/>
    </row>
    <row r="98" spans="1:3" ht="15.75" x14ac:dyDescent="0.25">
      <c r="A98" s="141"/>
      <c r="B98" s="140"/>
      <c r="C98" s="140"/>
    </row>
    <row r="99" spans="1:3" ht="15.75" x14ac:dyDescent="0.25">
      <c r="A99" s="141"/>
      <c r="B99" s="140"/>
      <c r="C99" s="141"/>
    </row>
    <row r="100" spans="1:3" ht="15.75" x14ac:dyDescent="0.25">
      <c r="A100" s="141"/>
      <c r="B100" s="140"/>
      <c r="C100" s="140"/>
    </row>
    <row r="101" spans="1:3" ht="15.75" x14ac:dyDescent="0.25">
      <c r="A101" s="141"/>
      <c r="B101" s="140"/>
      <c r="C101" s="141"/>
    </row>
    <row r="102" spans="1:3" ht="15.75" x14ac:dyDescent="0.25">
      <c r="A102" s="140"/>
      <c r="B102" s="140"/>
      <c r="C102" s="141"/>
    </row>
    <row r="103" spans="1:3" ht="15.75" x14ac:dyDescent="0.25">
      <c r="A103" s="140"/>
      <c r="B103" s="140"/>
      <c r="C103" s="141"/>
    </row>
    <row r="104" spans="1:3" ht="15.75" x14ac:dyDescent="0.25">
      <c r="A104" s="140"/>
      <c r="B104" s="140"/>
      <c r="C104" s="141"/>
    </row>
    <row r="105" spans="1:3" ht="15.75" x14ac:dyDescent="0.25">
      <c r="A105" s="140"/>
      <c r="B105" s="140"/>
      <c r="C105" s="141"/>
    </row>
    <row r="106" spans="1:3" ht="15.75" x14ac:dyDescent="0.25">
      <c r="A106" s="140"/>
      <c r="B106" s="140"/>
      <c r="C106" s="141"/>
    </row>
    <row r="107" spans="1:3" ht="15.75" x14ac:dyDescent="0.25">
      <c r="A107" s="140"/>
      <c r="B107" s="140"/>
      <c r="C107" s="141"/>
    </row>
    <row r="108" spans="1:3" ht="16.5" thickBot="1" x14ac:dyDescent="0.3">
      <c r="A108" s="140"/>
      <c r="B108" s="140"/>
      <c r="C108" s="141"/>
    </row>
    <row r="109" spans="1:3" ht="16.5" thickBot="1" x14ac:dyDescent="0.3">
      <c r="A109" s="144"/>
      <c r="B109" s="151"/>
      <c r="C109" s="143"/>
    </row>
    <row r="110" spans="1:3" ht="15.75" x14ac:dyDescent="0.25">
      <c r="A110" s="140"/>
      <c r="B110" s="140"/>
      <c r="C110" s="141"/>
    </row>
    <row r="111" spans="1:3" ht="15.75" x14ac:dyDescent="0.25">
      <c r="A111" s="140"/>
      <c r="B111" s="140"/>
      <c r="C111" s="141"/>
    </row>
    <row r="112" spans="1:3" ht="15.75" x14ac:dyDescent="0.25">
      <c r="A112" s="140"/>
      <c r="B112" s="140"/>
      <c r="C112" s="141"/>
    </row>
    <row r="113" spans="1:3" ht="15.75" x14ac:dyDescent="0.25">
      <c r="A113" s="140"/>
      <c r="B113" s="140"/>
      <c r="C113" s="141"/>
    </row>
    <row r="114" spans="1:3" ht="15.75" x14ac:dyDescent="0.25">
      <c r="A114" s="140"/>
      <c r="B114" s="140"/>
      <c r="C114" s="141"/>
    </row>
    <row r="115" spans="1:3" ht="15.75" x14ac:dyDescent="0.25">
      <c r="A115" s="140"/>
      <c r="B115" s="140"/>
      <c r="C115" s="141"/>
    </row>
    <row r="116" spans="1:3" ht="15.75" x14ac:dyDescent="0.25">
      <c r="A116" s="140"/>
      <c r="B116" s="140"/>
      <c r="C116" s="141"/>
    </row>
    <row r="117" spans="1:3" ht="15.75" x14ac:dyDescent="0.25">
      <c r="A117" s="140"/>
      <c r="B117" s="140"/>
      <c r="C117" s="141"/>
    </row>
    <row r="118" spans="1:3" ht="15.75" x14ac:dyDescent="0.25">
      <c r="A118" s="140"/>
      <c r="B118" s="140"/>
      <c r="C118" s="141"/>
    </row>
    <row r="119" spans="1:3" ht="15.75" x14ac:dyDescent="0.25">
      <c r="A119" s="140"/>
      <c r="B119" s="140"/>
      <c r="C119" s="141"/>
    </row>
    <row r="120" spans="1:3" ht="15.75" x14ac:dyDescent="0.25">
      <c r="A120" s="140"/>
      <c r="B120" s="140"/>
      <c r="C120" s="141"/>
    </row>
    <row r="121" spans="1:3" ht="15.75" x14ac:dyDescent="0.25">
      <c r="A121" s="140"/>
      <c r="B121" s="140"/>
      <c r="C121" s="141"/>
    </row>
    <row r="122" spans="1:3" ht="15.75" x14ac:dyDescent="0.25">
      <c r="A122" s="140"/>
      <c r="B122" s="140"/>
      <c r="C122" s="141"/>
    </row>
    <row r="123" spans="1:3" ht="15.75" x14ac:dyDescent="0.25">
      <c r="A123" s="140"/>
      <c r="B123" s="140"/>
      <c r="C123" s="141"/>
    </row>
    <row r="124" spans="1:3" ht="15.75" x14ac:dyDescent="0.25">
      <c r="A124" s="146"/>
      <c r="B124" s="147"/>
      <c r="C124" s="148"/>
    </row>
    <row r="125" spans="1:3" ht="15.75" x14ac:dyDescent="0.25">
      <c r="A125" s="141"/>
      <c r="B125" s="140"/>
      <c r="C125" s="140"/>
    </row>
    <row r="126" spans="1:3" ht="15.75" x14ac:dyDescent="0.25">
      <c r="A126" s="141"/>
      <c r="B126" s="140"/>
      <c r="C126" s="140"/>
    </row>
    <row r="127" spans="1:3" ht="15.75" x14ac:dyDescent="0.25">
      <c r="A127" s="141"/>
      <c r="B127" s="140"/>
      <c r="C127" s="140"/>
    </row>
    <row r="128" spans="1:3" ht="15.75" x14ac:dyDescent="0.25">
      <c r="A128" s="141"/>
      <c r="B128" s="140"/>
      <c r="C128" s="141"/>
    </row>
    <row r="129" spans="1:3" ht="15.75" x14ac:dyDescent="0.25">
      <c r="A129" s="141"/>
      <c r="B129" s="140"/>
      <c r="C129" s="140"/>
    </row>
    <row r="130" spans="1:3" ht="15.75" x14ac:dyDescent="0.25">
      <c r="A130" s="141"/>
      <c r="B130" s="140"/>
      <c r="C130" s="141"/>
    </row>
  </sheetData>
  <sheetProtection deleteColumns="0" deleteRows="0" selectLockedCells="1"/>
  <protectedRanges>
    <protectedRange sqref="B58:B64 B7:B18 B22 B88:B94 B82:B84 B117:B123 B111:B113" name="Range2_1_1"/>
    <protectedRange sqref="B67:B69 B97:B99 B126:B128" name="Range2_3_1_1"/>
    <protectedRange sqref="B75 B77 B104 B106" name="Range2_1_1_1"/>
    <protectedRange sqref="B78:B79 B107:B108" name="Range2_1_1_2"/>
    <protectedRange sqref="B73:B74" name="Range2_1_1_3"/>
    <protectedRange sqref="B41:B44 B39" name="Range2_1_1_4"/>
    <protectedRange sqref="B45:B46" name="Range2_1_1_4_2"/>
    <protectedRange sqref="B33:B37" name="Range2_1_1_5"/>
    <protectedRange sqref="B32" name="Range2_1_1_3_2"/>
    <protectedRange sqref="B38" name="Range2_1_1_3_3"/>
  </protectedRanges>
  <pageMargins left="0.7" right="0.7" top="0.75" bottom="0.75" header="0.3" footer="0.3"/>
  <pageSetup scale="9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Set-up</vt:lpstr>
      <vt:lpstr>Today</vt:lpstr>
      <vt:lpstr>IMPORT REPORT 14.008</vt:lpstr>
      <vt:lpstr>Tps sheet when a lot of VIP</vt:lpstr>
      <vt:lpstr>Today!Print_Area</vt:lpstr>
      <vt:lpstr>'Tps sheet when a lot of VIP'!Print_Area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HP6300_X64_Eng</dc:creator>
  <cp:lastModifiedBy>El-Ouaryachi, Outman</cp:lastModifiedBy>
  <cp:revision/>
  <cp:lastPrinted>2025-01-23T02:06:54Z</cp:lastPrinted>
  <dcterms:created xsi:type="dcterms:W3CDTF">2013-02-17T22:41:38Z</dcterms:created>
  <dcterms:modified xsi:type="dcterms:W3CDTF">2025-01-23T02:10:07Z</dcterms:modified>
</cp:coreProperties>
</file>